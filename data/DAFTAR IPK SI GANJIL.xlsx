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66925"/>
  <mc:AlternateContent xmlns:mc="http://schemas.openxmlformats.org/markup-compatibility/2006">
    <mc:Choice Requires="x15">
      <x15ac:absPath xmlns:x15ac="http://schemas.microsoft.com/office/spreadsheetml/2010/11/ac" url="D:\Kerja\Joki\9455\Data\"/>
    </mc:Choice>
  </mc:AlternateContent>
  <xr:revisionPtr revIDLastSave="0" documentId="13_ncr:1_{0F2714F1-7C5A-4389-900E-9A14F323FEFC}" xr6:coauthVersionLast="47" xr6:coauthVersionMax="47" xr10:uidLastSave="{00000000-0000-0000-0000-000000000000}"/>
  <bookViews>
    <workbookView xWindow="-120" yWindow="-120" windowWidth="29040" windowHeight="16440" activeTab="4" xr2:uid="{5C9F1C40-EB4A-454A-BD6F-12729E9FCF56}"/>
  </bookViews>
  <sheets>
    <sheet name="2020" sheetId="1" r:id="rId1"/>
    <sheet name="2021" sheetId="24" r:id="rId2"/>
    <sheet name="2022" sheetId="25" r:id="rId3"/>
    <sheet name="2023" sheetId="27" r:id="rId4"/>
    <sheet name="2024" sheetId="28" r:id="rId5"/>
  </sheets>
  <definedNames>
    <definedName name="_xlnm._FilterDatabase" localSheetId="0" hidden="1">'2020'!$B$2:$G$482</definedName>
    <definedName name="_xlnm._FilterDatabase" localSheetId="1" hidden="1">'2021'!$B$2:$G$353</definedName>
    <definedName name="_xlnm._FilterDatabase" localSheetId="2" hidden="1">'2022'!$B$2:$G$2</definedName>
    <definedName name="_xlnm._FilterDatabase" localSheetId="3" hidden="1">'2023'!$B$2:$G$2</definedName>
    <definedName name="_xlnm._FilterDatabase" localSheetId="4" hidden="1">'2024'!$B$2:$G$466</definedName>
    <definedName name="Pemotong_STATUS">#N/A</definedName>
    <definedName name="Pemotong_STATUS1">#N/A</definedName>
    <definedName name="Pemotong_STATUS2">#N/A</definedName>
    <definedName name="Pemotong_STATUS3">#N/A</definedName>
    <definedName name="Pemotong_STATUS4">#N/A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4" i="25" l="1"/>
  <c r="H9" i="1"/>
  <c r="H349" i="1"/>
  <c r="H52" i="27"/>
  <c r="H266" i="1"/>
  <c r="H78" i="27"/>
  <c r="H156" i="25"/>
  <c r="H62" i="1"/>
  <c r="H234" i="1"/>
  <c r="H122" i="1"/>
  <c r="H66" i="1"/>
  <c r="H78" i="1"/>
  <c r="H347" i="1"/>
  <c r="H20" i="28"/>
  <c r="H72" i="24"/>
  <c r="H113" i="24"/>
  <c r="H220" i="25"/>
  <c r="H149" i="25"/>
  <c r="H160" i="1"/>
  <c r="H217" i="25"/>
  <c r="H75" i="27"/>
  <c r="H181" i="24"/>
  <c r="H114" i="25"/>
  <c r="H284" i="1"/>
  <c r="H155" i="1"/>
  <c r="H68" i="1"/>
  <c r="H69" i="24"/>
  <c r="H207" i="24"/>
  <c r="H173" i="1"/>
  <c r="H223" i="1"/>
  <c r="H17" i="27"/>
  <c r="H133" i="27"/>
  <c r="H323" i="1"/>
  <c r="H176" i="25"/>
  <c r="H91" i="24"/>
  <c r="H70" i="1"/>
  <c r="H250" i="1"/>
  <c r="H240" i="24"/>
  <c r="H239" i="24"/>
  <c r="H168" i="1"/>
  <c r="H184" i="25"/>
  <c r="H297" i="1"/>
  <c r="H29" i="1"/>
  <c r="H60" i="25"/>
  <c r="H153" i="25"/>
  <c r="H192" i="1"/>
  <c r="H115" i="24"/>
  <c r="H91" i="27"/>
  <c r="H59" i="27"/>
  <c r="H299" i="1"/>
  <c r="H208" i="25"/>
  <c r="H232" i="25"/>
  <c r="H122" i="24"/>
  <c r="H99" i="1"/>
  <c r="H77" i="24"/>
  <c r="H187" i="24"/>
  <c r="H298" i="1"/>
  <c r="H12" i="1"/>
  <c r="H214" i="24"/>
  <c r="H8" i="1"/>
  <c r="H194" i="1"/>
  <c r="H6" i="28"/>
  <c r="H143" i="1"/>
  <c r="H224" i="24"/>
  <c r="H261" i="1"/>
  <c r="H21" i="27"/>
  <c r="H30" i="24"/>
  <c r="H103" i="25"/>
  <c r="H367" i="1"/>
  <c r="H154" i="24"/>
  <c r="H321" i="1"/>
  <c r="H67" i="25"/>
  <c r="H251" i="1"/>
  <c r="H289" i="1"/>
  <c r="H7" i="25"/>
  <c r="H57" i="24"/>
  <c r="H188" i="1"/>
  <c r="H233" i="1"/>
  <c r="H340" i="1"/>
  <c r="H368" i="1"/>
  <c r="H139" i="25"/>
  <c r="H306" i="1"/>
  <c r="H67" i="27"/>
  <c r="H81" i="24"/>
  <c r="H156" i="1"/>
  <c r="H189" i="1"/>
  <c r="H40" i="1"/>
  <c r="H102" i="25"/>
  <c r="H199" i="25"/>
  <c r="H291" i="1"/>
  <c r="H269" i="1"/>
  <c r="H26" i="27"/>
  <c r="H26" i="25"/>
  <c r="H82" i="25"/>
  <c r="H140" i="24"/>
  <c r="H59" i="24"/>
  <c r="H194" i="24"/>
  <c r="H6" i="1"/>
  <c r="H144" i="1"/>
  <c r="H247" i="1"/>
  <c r="H48" i="24"/>
  <c r="H50" i="1"/>
  <c r="H151" i="1"/>
  <c r="H127" i="27"/>
  <c r="H24" i="28"/>
  <c r="H12" i="24"/>
  <c r="H44" i="24"/>
  <c r="H100" i="27"/>
  <c r="H236" i="24"/>
  <c r="H51" i="25"/>
  <c r="H114" i="24"/>
  <c r="H42" i="1"/>
  <c r="H366" i="1"/>
  <c r="H182" i="1"/>
  <c r="H140" i="27"/>
  <c r="H166" i="1"/>
  <c r="H131" i="25"/>
  <c r="H244" i="24"/>
  <c r="H220" i="24"/>
  <c r="H270" i="1"/>
  <c r="H338" i="1"/>
  <c r="H70" i="25"/>
  <c r="H7" i="28"/>
  <c r="H274" i="24"/>
  <c r="H197" i="25"/>
  <c r="H29" i="27"/>
  <c r="H36" i="1"/>
  <c r="H31" i="1"/>
  <c r="H11" i="1"/>
  <c r="H213" i="1"/>
  <c r="H263" i="1"/>
  <c r="H246" i="24"/>
  <c r="H56" i="25"/>
  <c r="H37" i="27"/>
  <c r="H215" i="25"/>
  <c r="H55" i="25"/>
  <c r="H369" i="1"/>
  <c r="H162" i="25"/>
  <c r="H174" i="1"/>
  <c r="H359" i="1"/>
  <c r="H149" i="1"/>
  <c r="H76" i="27"/>
  <c r="H16" i="28"/>
  <c r="H18" i="27"/>
  <c r="H142" i="27"/>
  <c r="H252" i="1"/>
  <c r="H271" i="24"/>
  <c r="H35" i="24"/>
  <c r="H131" i="24"/>
  <c r="H125" i="25"/>
  <c r="H205" i="24"/>
  <c r="H69" i="27"/>
  <c r="H146" i="1"/>
  <c r="H139" i="24"/>
  <c r="H119" i="25"/>
  <c r="H219" i="24"/>
  <c r="H277" i="1"/>
  <c r="H90" i="25"/>
  <c r="H39" i="25"/>
  <c r="H111" i="25"/>
  <c r="H197" i="24"/>
  <c r="H258" i="1"/>
  <c r="H25" i="27"/>
  <c r="H204" i="1"/>
  <c r="H216" i="24"/>
  <c r="H233" i="24"/>
  <c r="H128" i="24"/>
  <c r="H226" i="1"/>
  <c r="H70" i="27"/>
  <c r="H275" i="24"/>
  <c r="H139" i="27"/>
  <c r="H103" i="1"/>
  <c r="H315" i="1"/>
  <c r="H4" i="1"/>
  <c r="H175" i="1"/>
  <c r="H172" i="1"/>
  <c r="H102" i="24"/>
  <c r="H20" i="24"/>
  <c r="H272" i="24"/>
  <c r="H278" i="1"/>
  <c r="H56" i="24"/>
  <c r="H295" i="1"/>
  <c r="H191" i="1"/>
  <c r="H280" i="24"/>
  <c r="H86" i="27"/>
  <c r="H86" i="1"/>
  <c r="H4" i="24"/>
  <c r="H19" i="28"/>
  <c r="H118" i="25"/>
  <c r="H274" i="1"/>
  <c r="H249" i="1"/>
  <c r="H11" i="24"/>
  <c r="H85" i="1"/>
  <c r="H270" i="24"/>
  <c r="H179" i="24"/>
  <c r="H63" i="24"/>
  <c r="H184" i="1"/>
  <c r="H33" i="27"/>
  <c r="H255" i="1"/>
  <c r="H137" i="27"/>
  <c r="H143" i="24"/>
  <c r="H303" i="1"/>
  <c r="H173" i="24"/>
  <c r="H161" i="25"/>
  <c r="H195" i="24"/>
  <c r="H112" i="24"/>
  <c r="H99" i="24"/>
  <c r="H179" i="25"/>
  <c r="H185" i="24"/>
  <c r="H14" i="1"/>
  <c r="H332" i="1"/>
  <c r="H279" i="24"/>
  <c r="H167" i="24"/>
  <c r="H68" i="27"/>
  <c r="H175" i="24"/>
  <c r="H21" i="28"/>
  <c r="H119" i="27"/>
  <c r="H112" i="1"/>
  <c r="H201" i="25"/>
  <c r="H73" i="25"/>
  <c r="H160" i="24"/>
  <c r="H126" i="24"/>
  <c r="H222" i="1"/>
  <c r="H65" i="25"/>
  <c r="H53" i="27"/>
  <c r="H11" i="27"/>
  <c r="H90" i="1"/>
  <c r="H74" i="25"/>
  <c r="H49" i="24"/>
  <c r="H164" i="25"/>
  <c r="H112" i="25"/>
  <c r="H17" i="25"/>
  <c r="H199" i="1"/>
  <c r="H31" i="24"/>
  <c r="H127" i="1"/>
  <c r="H218" i="25"/>
  <c r="H87" i="27"/>
  <c r="H16" i="1"/>
  <c r="H93" i="27"/>
  <c r="H153" i="24"/>
  <c r="H36" i="27"/>
  <c r="H277" i="24"/>
  <c r="H182" i="24"/>
  <c r="H172" i="25"/>
  <c r="H259" i="1"/>
  <c r="H107" i="25"/>
  <c r="H235" i="1"/>
  <c r="H276" i="24"/>
  <c r="H162" i="1"/>
  <c r="H80" i="25"/>
  <c r="H124" i="25"/>
  <c r="H53" i="24"/>
  <c r="H122" i="25"/>
  <c r="H33" i="24"/>
  <c r="H47" i="25"/>
  <c r="H238" i="24"/>
  <c r="H15" i="28"/>
  <c r="H69" i="1"/>
  <c r="H198" i="25"/>
  <c r="H118" i="27"/>
  <c r="H48" i="25"/>
  <c r="H320" i="1"/>
  <c r="H114" i="27"/>
  <c r="H157" i="25"/>
  <c r="H37" i="24"/>
  <c r="H178" i="24"/>
  <c r="H76" i="25"/>
  <c r="H41" i="1"/>
  <c r="H147" i="1"/>
  <c r="H64" i="24"/>
  <c r="H95" i="25"/>
  <c r="H54" i="1"/>
  <c r="H97" i="24"/>
  <c r="H121" i="24"/>
  <c r="H10" i="28"/>
  <c r="H322" i="1"/>
  <c r="H47" i="24"/>
  <c r="H103" i="24"/>
  <c r="H239" i="1"/>
  <c r="H77" i="25"/>
  <c r="H76" i="24"/>
  <c r="H135" i="1"/>
  <c r="H53" i="25"/>
  <c r="H50" i="27"/>
  <c r="H150" i="24"/>
  <c r="H23" i="28"/>
  <c r="H215" i="1"/>
  <c r="H11" i="28"/>
  <c r="H15" i="27"/>
  <c r="H200" i="1"/>
  <c r="H3" i="25"/>
  <c r="H67" i="24"/>
  <c r="H18" i="24"/>
  <c r="H225" i="24"/>
  <c r="H65" i="27"/>
  <c r="H10" i="24"/>
  <c r="H23" i="25"/>
  <c r="H62" i="24"/>
  <c r="H64" i="25"/>
  <c r="H224" i="25"/>
  <c r="H19" i="25"/>
  <c r="H112" i="27"/>
  <c r="H335" i="1"/>
  <c r="H42" i="25"/>
  <c r="H39" i="27"/>
  <c r="H132" i="27"/>
  <c r="H324" i="1"/>
  <c r="H66" i="25"/>
  <c r="H204" i="24"/>
  <c r="H259" i="24"/>
  <c r="H28" i="27"/>
  <c r="H317" i="1"/>
  <c r="H159" i="24"/>
  <c r="H108" i="27"/>
  <c r="H13" i="28"/>
  <c r="H290" i="1"/>
  <c r="H72" i="25"/>
  <c r="H232" i="1"/>
  <c r="H101" i="25"/>
  <c r="H251" i="24"/>
  <c r="H125" i="1"/>
  <c r="H117" i="1"/>
  <c r="H58" i="25"/>
  <c r="H99" i="25"/>
  <c r="H195" i="1"/>
  <c r="H8" i="28"/>
  <c r="H94" i="1"/>
  <c r="H244" i="1"/>
  <c r="H129" i="27"/>
  <c r="H279" i="1"/>
  <c r="H232" i="24"/>
  <c r="H191" i="24"/>
  <c r="H52" i="1"/>
  <c r="H72" i="1"/>
  <c r="H134" i="1"/>
  <c r="H68" i="25"/>
  <c r="H256" i="1"/>
  <c r="H190" i="1"/>
  <c r="H168" i="24"/>
  <c r="H135" i="24"/>
  <c r="H329" i="1"/>
  <c r="H53" i="1"/>
  <c r="H41" i="24"/>
  <c r="H157" i="24"/>
  <c r="H91" i="1"/>
  <c r="H248" i="1"/>
  <c r="H20" i="25"/>
  <c r="H12" i="27"/>
  <c r="H150" i="1"/>
  <c r="H288" i="1"/>
  <c r="H36" i="24"/>
  <c r="H182" i="25"/>
  <c r="H328" i="1"/>
  <c r="H218" i="24"/>
  <c r="H243" i="24"/>
  <c r="H156" i="24"/>
  <c r="H234" i="24"/>
  <c r="H34" i="24"/>
  <c r="H48" i="27"/>
  <c r="H212" i="1"/>
  <c r="H326" i="1"/>
  <c r="H180" i="25"/>
  <c r="H102" i="27"/>
  <c r="H211" i="24"/>
  <c r="H38" i="27"/>
  <c r="H76" i="1"/>
  <c r="H96" i="25"/>
  <c r="H193" i="24"/>
  <c r="H13" i="27"/>
  <c r="H96" i="24"/>
  <c r="H92" i="25"/>
  <c r="H196" i="24"/>
  <c r="H13" i="25"/>
  <c r="H117" i="25"/>
  <c r="H237" i="1"/>
  <c r="H83" i="25"/>
  <c r="H114" i="1"/>
  <c r="H54" i="25"/>
  <c r="H206" i="24"/>
  <c r="H51" i="27"/>
  <c r="H34" i="27"/>
  <c r="H361" i="1"/>
  <c r="H145" i="25"/>
  <c r="H176" i="24"/>
  <c r="H344" i="1"/>
  <c r="H181" i="1"/>
  <c r="H62" i="25"/>
  <c r="H4" i="27"/>
  <c r="H136" i="24"/>
  <c r="H49" i="27"/>
  <c r="H101" i="27"/>
  <c r="H61" i="24"/>
  <c r="H130" i="1"/>
  <c r="H27" i="1"/>
  <c r="H213" i="24"/>
  <c r="H26" i="1"/>
  <c r="H113" i="25"/>
  <c r="H254" i="24"/>
  <c r="H333" i="1"/>
  <c r="H9" i="27"/>
  <c r="H6" i="24"/>
  <c r="H129" i="25"/>
  <c r="H7" i="24"/>
  <c r="H365" i="1"/>
  <c r="H12" i="28"/>
  <c r="H189" i="24"/>
  <c r="H132" i="24"/>
  <c r="H124" i="24"/>
  <c r="H96" i="1"/>
  <c r="H275" i="1"/>
  <c r="H104" i="25"/>
  <c r="H92" i="27"/>
  <c r="H30" i="1"/>
  <c r="H242" i="24"/>
  <c r="H84" i="25"/>
  <c r="H176" i="1"/>
  <c r="H296" i="1"/>
  <c r="H113" i="27"/>
  <c r="H165" i="25"/>
  <c r="H123" i="25"/>
  <c r="H35" i="25"/>
  <c r="H170" i="25"/>
  <c r="H131" i="27"/>
  <c r="H177" i="1"/>
  <c r="H221" i="24"/>
  <c r="H151" i="24"/>
  <c r="H133" i="24"/>
  <c r="H142" i="1"/>
  <c r="H25" i="25"/>
  <c r="H25" i="24"/>
  <c r="H130" i="25"/>
  <c r="H38" i="24"/>
  <c r="H215" i="24"/>
  <c r="H33" i="25"/>
  <c r="H300" i="1"/>
  <c r="H163" i="24"/>
  <c r="H202" i="1"/>
  <c r="H49" i="25"/>
  <c r="H45" i="25"/>
  <c r="H95" i="24"/>
  <c r="H9" i="25"/>
  <c r="H358" i="1"/>
  <c r="H343" i="1"/>
  <c r="H211" i="1"/>
  <c r="H45" i="1"/>
  <c r="H178" i="25"/>
  <c r="H241" i="25"/>
  <c r="H134" i="25"/>
  <c r="H57" i="1"/>
  <c r="H362" i="1"/>
  <c r="H124" i="27"/>
  <c r="H77" i="27"/>
  <c r="H58" i="24"/>
  <c r="H60" i="24"/>
  <c r="H8" i="25"/>
  <c r="H13" i="24"/>
  <c r="H98" i="1"/>
  <c r="H161" i="24"/>
  <c r="H233" i="25"/>
  <c r="H85" i="27"/>
  <c r="H121" i="25"/>
  <c r="H249" i="24"/>
  <c r="H46" i="1"/>
  <c r="H73" i="27"/>
  <c r="H69" i="25"/>
  <c r="H105" i="1"/>
  <c r="H229" i="1"/>
  <c r="H228" i="24"/>
  <c r="H88" i="24"/>
  <c r="H75" i="1"/>
  <c r="H137" i="24"/>
  <c r="H59" i="25"/>
  <c r="H370" i="1"/>
  <c r="H108" i="1"/>
  <c r="H94" i="25"/>
  <c r="H160" i="25"/>
  <c r="H353" i="1"/>
  <c r="H346" i="1"/>
  <c r="H241" i="24"/>
  <c r="H238" i="25"/>
  <c r="H118" i="24"/>
  <c r="H119" i="24"/>
  <c r="H111" i="24"/>
  <c r="H307" i="1"/>
  <c r="H136" i="27"/>
  <c r="H237" i="25"/>
  <c r="H150" i="25"/>
  <c r="H74" i="24"/>
  <c r="H61" i="1"/>
  <c r="H3" i="28"/>
  <c r="H60" i="1"/>
  <c r="H79" i="1"/>
  <c r="H90" i="27"/>
  <c r="H21" i="24"/>
  <c r="H225" i="1"/>
  <c r="H66" i="24"/>
  <c r="H177" i="25"/>
  <c r="H31" i="25"/>
  <c r="H184" i="24"/>
  <c r="H146" i="25"/>
  <c r="H230" i="24"/>
  <c r="H136" i="1"/>
  <c r="H152" i="24"/>
  <c r="H28" i="25"/>
  <c r="H273" i="24"/>
  <c r="H217" i="24"/>
  <c r="H19" i="27"/>
  <c r="H14" i="28"/>
  <c r="H141" i="24"/>
  <c r="H201" i="24"/>
  <c r="H131" i="1"/>
  <c r="H351" i="1"/>
  <c r="H223" i="25"/>
  <c r="H5" i="28"/>
  <c r="H98" i="27"/>
  <c r="H72" i="27"/>
  <c r="H269" i="24"/>
  <c r="H101" i="24"/>
  <c r="H97" i="27"/>
  <c r="H59" i="1"/>
  <c r="H73" i="1"/>
  <c r="H203" i="24"/>
  <c r="H10" i="1"/>
  <c r="H109" i="1"/>
  <c r="H330" i="1"/>
  <c r="H13" i="1"/>
  <c r="H84" i="24"/>
  <c r="H39" i="1"/>
  <c r="H17" i="28"/>
  <c r="H308" i="1"/>
  <c r="H22" i="24"/>
  <c r="H15" i="1"/>
  <c r="H95" i="1"/>
  <c r="H38" i="1"/>
  <c r="H81" i="25"/>
  <c r="H209" i="1"/>
  <c r="H145" i="24"/>
  <c r="H242" i="25"/>
  <c r="H106" i="24"/>
  <c r="H252" i="24"/>
  <c r="H28" i="24"/>
  <c r="H197" i="1"/>
  <c r="H221" i="25"/>
  <c r="H231" i="1"/>
  <c r="H189" i="25"/>
  <c r="H75" i="24"/>
  <c r="H256" i="24"/>
  <c r="H198" i="24"/>
  <c r="H61" i="27"/>
  <c r="H173" i="25"/>
  <c r="H23" i="24"/>
  <c r="H51" i="1"/>
  <c r="H98" i="25"/>
  <c r="H314" i="1"/>
  <c r="H213" i="25"/>
  <c r="H56" i="1"/>
  <c r="H183" i="1"/>
  <c r="H71" i="25"/>
  <c r="H45" i="24"/>
  <c r="H364" i="1"/>
  <c r="H32" i="24"/>
  <c r="H305" i="1"/>
  <c r="H174" i="24"/>
  <c r="H82" i="1"/>
  <c r="H79" i="25"/>
  <c r="H125" i="24"/>
  <c r="H132" i="1"/>
  <c r="H350" i="1"/>
  <c r="H22" i="27"/>
  <c r="H221" i="1"/>
  <c r="H126" i="27"/>
  <c r="H79" i="27"/>
  <c r="H227" i="1"/>
  <c r="H55" i="1"/>
  <c r="H120" i="1"/>
  <c r="H121" i="27"/>
  <c r="H155" i="24"/>
  <c r="H43" i="24"/>
  <c r="H107" i="27"/>
  <c r="H260" i="24"/>
  <c r="H210" i="24"/>
  <c r="H170" i="24"/>
  <c r="H81" i="1"/>
  <c r="H127" i="25"/>
  <c r="H40" i="25"/>
  <c r="H164" i="1"/>
  <c r="H327" i="1"/>
  <c r="H263" i="24"/>
  <c r="H138" i="1"/>
  <c r="H117" i="24"/>
  <c r="H293" i="1"/>
  <c r="H106" i="1"/>
  <c r="H71" i="24"/>
  <c r="H153" i="1"/>
  <c r="H37" i="1"/>
  <c r="H180" i="1"/>
  <c r="H149" i="24"/>
  <c r="H240" i="25"/>
  <c r="H88" i="27"/>
  <c r="H262" i="24"/>
  <c r="H27" i="27"/>
  <c r="H38" i="25"/>
  <c r="H209" i="25"/>
  <c r="H92" i="24"/>
  <c r="H199" i="24"/>
  <c r="H126" i="25"/>
  <c r="H100" i="1"/>
  <c r="H21" i="1"/>
  <c r="H167" i="25"/>
  <c r="H5" i="25"/>
  <c r="H105" i="25"/>
  <c r="H242" i="1"/>
  <c r="H27" i="25"/>
  <c r="H120" i="24"/>
  <c r="H198" i="1"/>
  <c r="H34" i="1"/>
  <c r="H82" i="24"/>
  <c r="H75" i="25"/>
  <c r="H41" i="27"/>
  <c r="H71" i="27"/>
  <c r="H238" i="1"/>
  <c r="H78" i="25"/>
  <c r="H276" i="1"/>
  <c r="H158" i="25"/>
  <c r="H27" i="24"/>
  <c r="H139" i="1"/>
  <c r="H129" i="24"/>
  <c r="H208" i="1"/>
  <c r="H169" i="24"/>
  <c r="H61" i="25"/>
  <c r="H226" i="25"/>
  <c r="H148" i="25"/>
  <c r="H230" i="1"/>
  <c r="H22" i="1"/>
  <c r="H5" i="24"/>
  <c r="H50" i="25"/>
  <c r="H371" i="1"/>
  <c r="H257" i="1"/>
  <c r="H302" i="1"/>
  <c r="H169" i="1"/>
  <c r="H44" i="1"/>
  <c r="H214" i="25"/>
  <c r="H280" i="1"/>
  <c r="H260" i="1"/>
  <c r="H25" i="1"/>
  <c r="H9" i="24"/>
  <c r="H212" i="24"/>
  <c r="H162" i="24"/>
  <c r="H265" i="24"/>
  <c r="H142" i="24"/>
  <c r="H55" i="24"/>
  <c r="H227" i="25"/>
  <c r="H55" i="27"/>
  <c r="H106" i="27"/>
  <c r="H18" i="28"/>
  <c r="H158" i="24"/>
  <c r="H192" i="25"/>
  <c r="H155" i="25"/>
  <c r="H313" i="1"/>
  <c r="H115" i="27"/>
  <c r="H310" i="1"/>
  <c r="H28" i="1"/>
  <c r="H133" i="25"/>
  <c r="H128" i="27"/>
  <c r="H21" i="25"/>
  <c r="H206" i="1"/>
  <c r="H262" i="1"/>
  <c r="H348" i="1"/>
  <c r="H36" i="25"/>
  <c r="H130" i="27"/>
  <c r="H239" i="25"/>
  <c r="H141" i="27"/>
  <c r="H278" i="24"/>
  <c r="H80" i="27"/>
  <c r="H166" i="24"/>
  <c r="H48" i="1"/>
  <c r="H62" i="27"/>
  <c r="H165" i="24"/>
  <c r="H31" i="27"/>
  <c r="H245" i="1"/>
  <c r="H212" i="25"/>
  <c r="H140" i="1"/>
  <c r="H64" i="1"/>
  <c r="H142" i="25"/>
  <c r="H190" i="25"/>
  <c r="H43" i="1"/>
  <c r="H3" i="27"/>
  <c r="H110" i="1"/>
  <c r="H247" i="24"/>
  <c r="H15" i="24"/>
  <c r="H65" i="24"/>
  <c r="H154" i="25"/>
  <c r="H90" i="24"/>
  <c r="H26" i="28"/>
  <c r="H196" i="25"/>
  <c r="H110" i="24"/>
  <c r="H74" i="1"/>
  <c r="H145" i="1"/>
  <c r="H373" i="1"/>
  <c r="H167" i="1"/>
  <c r="H74" i="27"/>
  <c r="H86" i="24"/>
  <c r="H63" i="27"/>
  <c r="H107" i="1"/>
  <c r="H138" i="25"/>
  <c r="H138" i="27"/>
  <c r="H183" i="24"/>
  <c r="H95" i="27"/>
  <c r="H316" i="1"/>
  <c r="H255" i="24"/>
  <c r="H190" i="24"/>
  <c r="H52" i="24"/>
  <c r="H40" i="27"/>
  <c r="H60" i="27"/>
  <c r="H116" i="27"/>
  <c r="H218" i="1"/>
  <c r="H46" i="25"/>
  <c r="H195" i="25"/>
  <c r="H325" i="1"/>
  <c r="H50" i="24"/>
  <c r="H222" i="25"/>
  <c r="H140" i="25"/>
  <c r="H99" i="27"/>
  <c r="H120" i="25"/>
  <c r="H42" i="24"/>
  <c r="H273" i="1"/>
  <c r="H3" i="24"/>
  <c r="H356" i="1"/>
  <c r="H43" i="27"/>
  <c r="H63" i="1"/>
  <c r="H127" i="24"/>
  <c r="H113" i="1"/>
  <c r="H151" i="25"/>
  <c r="H58" i="1"/>
  <c r="H203" i="1"/>
  <c r="H265" i="1"/>
  <c r="H89" i="27"/>
  <c r="H14" i="25"/>
  <c r="H129" i="1"/>
  <c r="H228" i="25"/>
  <c r="H5" i="27"/>
  <c r="H159" i="25"/>
  <c r="H202" i="24"/>
  <c r="H80" i="1"/>
  <c r="H84" i="27"/>
  <c r="H243" i="1"/>
  <c r="H283" i="1"/>
  <c r="H266" i="24"/>
  <c r="H181" i="25"/>
  <c r="H134" i="27"/>
  <c r="H304" i="1"/>
  <c r="H94" i="27"/>
  <c r="H206" i="25"/>
  <c r="H116" i="25"/>
  <c r="H23" i="27"/>
  <c r="H336" i="1"/>
  <c r="H37" i="25"/>
  <c r="H352" i="1"/>
  <c r="H52" i="25"/>
  <c r="H141" i="1"/>
  <c r="H210" i="1"/>
  <c r="H115" i="1"/>
  <c r="H123" i="1"/>
  <c r="H110" i="25"/>
  <c r="H161" i="1"/>
  <c r="H116" i="24"/>
  <c r="H191" i="25"/>
  <c r="H166" i="25"/>
  <c r="H258" i="24"/>
  <c r="H47" i="27"/>
  <c r="H144" i="25"/>
  <c r="H23" i="1"/>
  <c r="H168" i="25"/>
  <c r="H185" i="1"/>
  <c r="H148" i="24"/>
  <c r="H10" i="25"/>
  <c r="H98" i="24"/>
  <c r="H94" i="24"/>
  <c r="H97" i="25"/>
  <c r="H154" i="1"/>
  <c r="H19" i="24"/>
  <c r="H4" i="25"/>
  <c r="H231" i="24"/>
  <c r="H24" i="24"/>
  <c r="H248" i="24"/>
  <c r="H229" i="24"/>
  <c r="H132" i="25"/>
  <c r="H254" i="1"/>
  <c r="H83" i="1"/>
  <c r="H342" i="1"/>
  <c r="H337" i="1"/>
  <c r="H87" i="24"/>
  <c r="H334" i="1"/>
  <c r="H106" i="25"/>
  <c r="H5" i="1"/>
  <c r="H152" i="25"/>
  <c r="H58" i="27"/>
  <c r="H148" i="1"/>
  <c r="H14" i="27"/>
  <c r="H188" i="24"/>
  <c r="H209" i="24"/>
  <c r="H267" i="24"/>
  <c r="H219" i="1"/>
  <c r="H205" i="1"/>
  <c r="H246" i="1"/>
  <c r="H136" i="25"/>
  <c r="H152" i="1"/>
  <c r="H126" i="1"/>
  <c r="H93" i="1"/>
  <c r="H236" i="1"/>
  <c r="H57" i="27"/>
  <c r="H285" i="1"/>
  <c r="H146" i="24"/>
  <c r="H107" i="24"/>
  <c r="H47" i="1"/>
  <c r="H46" i="24"/>
  <c r="H86" i="25"/>
  <c r="H87" i="1"/>
  <c r="H287" i="1"/>
  <c r="H8" i="27"/>
  <c r="H159" i="1"/>
  <c r="H360" i="1"/>
  <c r="H96" i="27"/>
  <c r="H84" i="1"/>
  <c r="H66" i="27"/>
  <c r="H32" i="25"/>
  <c r="H65" i="1"/>
  <c r="H103" i="27"/>
  <c r="H357" i="1"/>
  <c r="H235" i="24"/>
  <c r="H32" i="1"/>
  <c r="H157" i="1"/>
  <c r="H89" i="25"/>
  <c r="H253" i="1"/>
  <c r="H135" i="27"/>
  <c r="H79" i="24"/>
  <c r="H117" i="27"/>
  <c r="H116" i="1"/>
  <c r="H204" i="25"/>
  <c r="H185" i="25"/>
  <c r="H104" i="24"/>
  <c r="H93" i="25"/>
  <c r="H16" i="25"/>
  <c r="H186" i="24"/>
  <c r="H32" i="27"/>
  <c r="H133" i="1"/>
  <c r="H6" i="27"/>
  <c r="H194" i="25"/>
  <c r="H125" i="27"/>
  <c r="H16" i="27"/>
  <c r="H137" i="25"/>
  <c r="H188" i="25"/>
  <c r="H211" i="25"/>
  <c r="H30" i="25"/>
  <c r="H186" i="25"/>
  <c r="H203" i="25"/>
  <c r="H192" i="24"/>
  <c r="H104" i="1"/>
  <c r="H22" i="25"/>
  <c r="H170" i="1"/>
  <c r="H311" i="1"/>
  <c r="H73" i="24"/>
  <c r="H102" i="1"/>
  <c r="H178" i="1"/>
  <c r="H121" i="1"/>
  <c r="H234" i="25"/>
  <c r="H245" i="24"/>
  <c r="H110" i="27"/>
  <c r="H81" i="27"/>
  <c r="H63" i="25"/>
  <c r="H20" i="1"/>
  <c r="H230" i="25"/>
  <c r="H82" i="27"/>
  <c r="H104" i="27"/>
  <c r="H26" i="24"/>
  <c r="H143" i="27"/>
  <c r="H16" i="24"/>
  <c r="H109" i="25"/>
  <c r="H24" i="27"/>
  <c r="H4" i="28"/>
  <c r="H44" i="27"/>
  <c r="H130" i="24"/>
  <c r="H137" i="1"/>
  <c r="H115" i="25"/>
  <c r="H229" i="25"/>
  <c r="H3" i="1"/>
  <c r="H7" i="27"/>
  <c r="H235" i="25"/>
  <c r="H134" i="24"/>
  <c r="H33" i="1"/>
  <c r="H261" i="24"/>
  <c r="H29" i="24"/>
  <c r="H220" i="1"/>
  <c r="H171" i="24"/>
  <c r="H250" i="24"/>
  <c r="H174" i="25"/>
  <c r="H89" i="24"/>
  <c r="H354" i="1"/>
  <c r="H186" i="1"/>
  <c r="H217" i="1"/>
  <c r="H12" i="25"/>
  <c r="H171" i="25"/>
  <c r="H214" i="1"/>
  <c r="H158" i="1"/>
  <c r="H17" i="1"/>
  <c r="H8" i="24"/>
  <c r="H67" i="1"/>
  <c r="H51" i="24"/>
  <c r="H267" i="1"/>
  <c r="H64" i="27"/>
  <c r="H143" i="25"/>
  <c r="H165" i="1"/>
  <c r="H171" i="1"/>
  <c r="H87" i="25"/>
  <c r="H92" i="1"/>
  <c r="H216" i="1"/>
  <c r="H226" i="24"/>
  <c r="H10" i="27"/>
  <c r="H200" i="24"/>
  <c r="H281" i="1"/>
  <c r="H22" i="28"/>
  <c r="H231" i="25"/>
  <c r="H46" i="27"/>
  <c r="H138" i="24"/>
  <c r="H187" i="1"/>
  <c r="H179" i="1"/>
  <c r="H68" i="24"/>
  <c r="H43" i="25"/>
  <c r="H25" i="28"/>
  <c r="H216" i="25"/>
  <c r="H141" i="25"/>
  <c r="H123" i="27"/>
  <c r="H294" i="1"/>
  <c r="H97" i="1"/>
  <c r="H70" i="24"/>
  <c r="H147" i="25"/>
  <c r="H331" i="1"/>
  <c r="H355" i="1"/>
  <c r="H111" i="1"/>
  <c r="H35" i="27"/>
  <c r="H122" i="27"/>
  <c r="H264" i="24"/>
  <c r="H105" i="27"/>
  <c r="H19" i="1"/>
  <c r="H253" i="24"/>
  <c r="H111" i="27"/>
  <c r="H119" i="1"/>
  <c r="H208" i="24"/>
  <c r="H118" i="1"/>
  <c r="H163" i="1"/>
  <c r="H42" i="27"/>
  <c r="H236" i="25"/>
  <c r="H54" i="27"/>
  <c r="H78" i="24"/>
  <c r="H177" i="24"/>
  <c r="H30" i="27"/>
  <c r="H228" i="1"/>
  <c r="H205" i="25"/>
  <c r="H222" i="24"/>
  <c r="H286" i="1"/>
  <c r="H49" i="1"/>
  <c r="H341" i="1"/>
  <c r="H312" i="1"/>
  <c r="H219" i="25"/>
  <c r="H89" i="1"/>
  <c r="H172" i="24"/>
  <c r="H193" i="25"/>
  <c r="H109" i="24"/>
  <c r="H128" i="25"/>
  <c r="H39" i="24"/>
  <c r="H147" i="24"/>
  <c r="H223" i="24"/>
  <c r="H301" i="1"/>
  <c r="H11" i="25"/>
  <c r="H224" i="1"/>
  <c r="H164" i="24"/>
  <c r="H372" i="1"/>
  <c r="H88" i="1"/>
  <c r="H20" i="27"/>
  <c r="H135" i="25"/>
  <c r="H240" i="1"/>
  <c r="H24" i="1"/>
  <c r="H292" i="1"/>
  <c r="H210" i="25"/>
  <c r="H225" i="25"/>
  <c r="H169" i="25"/>
  <c r="H41" i="25"/>
  <c r="H9" i="28"/>
  <c r="H101" i="1"/>
  <c r="H77" i="1"/>
  <c r="H80" i="24"/>
  <c r="H241" i="1"/>
  <c r="H201" i="1"/>
  <c r="H44" i="25"/>
  <c r="H124" i="1"/>
  <c r="H123" i="24"/>
  <c r="H18" i="1"/>
  <c r="H180" i="24"/>
  <c r="H120" i="27"/>
  <c r="H207" i="25"/>
  <c r="H14" i="24"/>
  <c r="H272" i="1"/>
  <c r="H144" i="24"/>
  <c r="H17" i="24"/>
  <c r="H91" i="25"/>
  <c r="H83" i="24"/>
  <c r="H85" i="24"/>
  <c r="H108" i="24"/>
  <c r="H83" i="27"/>
  <c r="H237" i="24"/>
  <c r="H54" i="24"/>
  <c r="H227" i="24"/>
  <c r="H282" i="1"/>
  <c r="H257" i="24"/>
  <c r="H196" i="1"/>
  <c r="H268" i="24"/>
  <c r="H187" i="25"/>
  <c r="H309" i="1"/>
  <c r="H128" i="1"/>
  <c r="H339" i="1"/>
  <c r="H93" i="24"/>
  <c r="H183" i="25"/>
  <c r="H175" i="25"/>
  <c r="H40" i="24"/>
  <c r="H318" i="1"/>
  <c r="H57" i="25"/>
  <c r="H193" i="1"/>
  <c r="H45" i="27"/>
  <c r="H207" i="1"/>
  <c r="H345" i="1"/>
  <c r="H200" i="25"/>
  <c r="H264" i="1"/>
  <c r="H35" i="1"/>
  <c r="H319" i="1"/>
  <c r="H109" i="27"/>
  <c r="H56" i="27"/>
  <c r="H29" i="25"/>
  <c r="H268" i="1"/>
  <c r="H71" i="1"/>
  <c r="H271" i="1"/>
  <c r="H363" i="1"/>
  <c r="H7" i="1"/>
  <c r="H105" i="24"/>
  <c r="H100" i="24"/>
</calcChain>
</file>

<file path=xl/sharedStrings.xml><?xml version="1.0" encoding="utf-8"?>
<sst xmlns="http://schemas.openxmlformats.org/spreadsheetml/2006/main" count="5986" uniqueCount="1185">
  <si>
    <t>NO.</t>
  </si>
  <si>
    <t>N I M</t>
  </si>
  <si>
    <t>NAMA MAHASISWA</t>
  </si>
  <si>
    <t>SKS KUMULATIF</t>
  </si>
  <si>
    <t>I P K</t>
  </si>
  <si>
    <t>1</t>
  </si>
  <si>
    <t>KELUAR</t>
  </si>
  <si>
    <t>143</t>
  </si>
  <si>
    <t>2</t>
  </si>
  <si>
    <t>126</t>
  </si>
  <si>
    <t>3</t>
  </si>
  <si>
    <t>69</t>
  </si>
  <si>
    <t>4</t>
  </si>
  <si>
    <t>139</t>
  </si>
  <si>
    <t>5</t>
  </si>
  <si>
    <t>131</t>
  </si>
  <si>
    <t>6</t>
  </si>
  <si>
    <t>44</t>
  </si>
  <si>
    <t>7</t>
  </si>
  <si>
    <t>NON AKTIF</t>
  </si>
  <si>
    <t>141</t>
  </si>
  <si>
    <t>8</t>
  </si>
  <si>
    <t>101</t>
  </si>
  <si>
    <t>1.96</t>
  </si>
  <si>
    <t>9</t>
  </si>
  <si>
    <t>LULUS</t>
  </si>
  <si>
    <t>146</t>
  </si>
  <si>
    <t>10</t>
  </si>
  <si>
    <t>135</t>
  </si>
  <si>
    <t>2.21</t>
  </si>
  <si>
    <t>11</t>
  </si>
  <si>
    <t>AKTIF</t>
  </si>
  <si>
    <t>148</t>
  </si>
  <si>
    <t>12</t>
  </si>
  <si>
    <t>98</t>
  </si>
  <si>
    <t>13</t>
  </si>
  <si>
    <t>2.76</t>
  </si>
  <si>
    <t>14</t>
  </si>
  <si>
    <t>15</t>
  </si>
  <si>
    <t>147</t>
  </si>
  <si>
    <t>16</t>
  </si>
  <si>
    <t>17</t>
  </si>
  <si>
    <t>151</t>
  </si>
  <si>
    <t>18</t>
  </si>
  <si>
    <t>121</t>
  </si>
  <si>
    <t>19</t>
  </si>
  <si>
    <t>STEVEN</t>
  </si>
  <si>
    <t>26</t>
  </si>
  <si>
    <t>20</t>
  </si>
  <si>
    <t>21</t>
  </si>
  <si>
    <t>22</t>
  </si>
  <si>
    <t>144</t>
  </si>
  <si>
    <t>23</t>
  </si>
  <si>
    <t>150</t>
  </si>
  <si>
    <t>2.98</t>
  </si>
  <si>
    <t>24</t>
  </si>
  <si>
    <t>25</t>
  </si>
  <si>
    <t>155</t>
  </si>
  <si>
    <t>27</t>
  </si>
  <si>
    <t>28</t>
  </si>
  <si>
    <t>138</t>
  </si>
  <si>
    <t>29</t>
  </si>
  <si>
    <t>3.87</t>
  </si>
  <si>
    <t>30</t>
  </si>
  <si>
    <t>31</t>
  </si>
  <si>
    <t>32</t>
  </si>
  <si>
    <t>33</t>
  </si>
  <si>
    <t>3.37</t>
  </si>
  <si>
    <t>34</t>
  </si>
  <si>
    <t>35</t>
  </si>
  <si>
    <t>153</t>
  </si>
  <si>
    <t>3.14</t>
  </si>
  <si>
    <t>36</t>
  </si>
  <si>
    <t>37</t>
  </si>
  <si>
    <t>3.26</t>
  </si>
  <si>
    <t>38</t>
  </si>
  <si>
    <t>39</t>
  </si>
  <si>
    <t>149</t>
  </si>
  <si>
    <t>40</t>
  </si>
  <si>
    <t>41</t>
  </si>
  <si>
    <t>3.31</t>
  </si>
  <si>
    <t>42</t>
  </si>
  <si>
    <t>43</t>
  </si>
  <si>
    <t>3.30</t>
  </si>
  <si>
    <t>45</t>
  </si>
  <si>
    <t>2.97</t>
  </si>
  <si>
    <t>46</t>
  </si>
  <si>
    <t>47</t>
  </si>
  <si>
    <t>157</t>
  </si>
  <si>
    <t>3.28</t>
  </si>
  <si>
    <t>48</t>
  </si>
  <si>
    <t>3.02</t>
  </si>
  <si>
    <t>49</t>
  </si>
  <si>
    <t>50</t>
  </si>
  <si>
    <t>145</t>
  </si>
  <si>
    <t>3.29</t>
  </si>
  <si>
    <t>51</t>
  </si>
  <si>
    <t>3.20</t>
  </si>
  <si>
    <t>52</t>
  </si>
  <si>
    <t>53</t>
  </si>
  <si>
    <t>54</t>
  </si>
  <si>
    <t>55</t>
  </si>
  <si>
    <t>102</t>
  </si>
  <si>
    <t>56</t>
  </si>
  <si>
    <t>57</t>
  </si>
  <si>
    <t>58</t>
  </si>
  <si>
    <t>59</t>
  </si>
  <si>
    <t>60</t>
  </si>
  <si>
    <t>61</t>
  </si>
  <si>
    <t>62</t>
  </si>
  <si>
    <t>63</t>
  </si>
  <si>
    <t>3.73</t>
  </si>
  <si>
    <t>64</t>
  </si>
  <si>
    <t>3.68</t>
  </si>
  <si>
    <t>65</t>
  </si>
  <si>
    <t>3.89</t>
  </si>
  <si>
    <t>66</t>
  </si>
  <si>
    <t>3.44</t>
  </si>
  <si>
    <t>67</t>
  </si>
  <si>
    <t>3.70</t>
  </si>
  <si>
    <t>68</t>
  </si>
  <si>
    <t>3.62</t>
  </si>
  <si>
    <t>3.72</t>
  </si>
  <si>
    <t>70</t>
  </si>
  <si>
    <t>3.74</t>
  </si>
  <si>
    <t>71</t>
  </si>
  <si>
    <t>72</t>
  </si>
  <si>
    <t>3.61</t>
  </si>
  <si>
    <t>73</t>
  </si>
  <si>
    <t>74</t>
  </si>
  <si>
    <t>3.92</t>
  </si>
  <si>
    <t>75</t>
  </si>
  <si>
    <t>3.77</t>
  </si>
  <si>
    <t>76</t>
  </si>
  <si>
    <t>77</t>
  </si>
  <si>
    <t>152</t>
  </si>
  <si>
    <t>78</t>
  </si>
  <si>
    <t>3.55</t>
  </si>
  <si>
    <t>79</t>
  </si>
  <si>
    <t>3.80</t>
  </si>
  <si>
    <t>80</t>
  </si>
  <si>
    <t>3.66</t>
  </si>
  <si>
    <t>81</t>
  </si>
  <si>
    <t>3.79</t>
  </si>
  <si>
    <t>82</t>
  </si>
  <si>
    <t>83</t>
  </si>
  <si>
    <t>3.86</t>
  </si>
  <si>
    <t>84</t>
  </si>
  <si>
    <t>85</t>
  </si>
  <si>
    <t>1.46</t>
  </si>
  <si>
    <t>86</t>
  </si>
  <si>
    <t>3.76</t>
  </si>
  <si>
    <t>87</t>
  </si>
  <si>
    <t>88</t>
  </si>
  <si>
    <t>3.45</t>
  </si>
  <si>
    <t>89</t>
  </si>
  <si>
    <t>90</t>
  </si>
  <si>
    <t>91</t>
  </si>
  <si>
    <t>3.33</t>
  </si>
  <si>
    <t>92</t>
  </si>
  <si>
    <t>3.54</t>
  </si>
  <si>
    <t>93</t>
  </si>
  <si>
    <t>94</t>
  </si>
  <si>
    <t>95</t>
  </si>
  <si>
    <t>96</t>
  </si>
  <si>
    <t>97</t>
  </si>
  <si>
    <t>0</t>
  </si>
  <si>
    <t>99</t>
  </si>
  <si>
    <t>100</t>
  </si>
  <si>
    <t>3.93</t>
  </si>
  <si>
    <t>103</t>
  </si>
  <si>
    <t>104</t>
  </si>
  <si>
    <t>3.95</t>
  </si>
  <si>
    <t>105</t>
  </si>
  <si>
    <t>3.36</t>
  </si>
  <si>
    <t>106</t>
  </si>
  <si>
    <t>107</t>
  </si>
  <si>
    <t>3.59</t>
  </si>
  <si>
    <t>108</t>
  </si>
  <si>
    <t>109</t>
  </si>
  <si>
    <t>110</t>
  </si>
  <si>
    <t>3.51</t>
  </si>
  <si>
    <t>111</t>
  </si>
  <si>
    <t>3.43</t>
  </si>
  <si>
    <t>112</t>
  </si>
  <si>
    <t>3.97</t>
  </si>
  <si>
    <t>113</t>
  </si>
  <si>
    <t>114</t>
  </si>
  <si>
    <t>3.98</t>
  </si>
  <si>
    <t>115</t>
  </si>
  <si>
    <t>3.18</t>
  </si>
  <si>
    <t>116</t>
  </si>
  <si>
    <t>117</t>
  </si>
  <si>
    <t>3.60</t>
  </si>
  <si>
    <t>118</t>
  </si>
  <si>
    <t>119</t>
  </si>
  <si>
    <t>120</t>
  </si>
  <si>
    <t>122</t>
  </si>
  <si>
    <t>123</t>
  </si>
  <si>
    <t>3.41</t>
  </si>
  <si>
    <t>124</t>
  </si>
  <si>
    <t>125</t>
  </si>
  <si>
    <t>127</t>
  </si>
  <si>
    <t>1.04</t>
  </si>
  <si>
    <t>128</t>
  </si>
  <si>
    <t>129</t>
  </si>
  <si>
    <t>130</t>
  </si>
  <si>
    <t>132</t>
  </si>
  <si>
    <t>133</t>
  </si>
  <si>
    <t>134</t>
  </si>
  <si>
    <t>136</t>
  </si>
  <si>
    <t>137</t>
  </si>
  <si>
    <t>3.84</t>
  </si>
  <si>
    <t>3.34</t>
  </si>
  <si>
    <t>140</t>
  </si>
  <si>
    <t>3.25</t>
  </si>
  <si>
    <t>142</t>
  </si>
  <si>
    <t>3.23</t>
  </si>
  <si>
    <t>3.50</t>
  </si>
  <si>
    <t>156</t>
  </si>
  <si>
    <t>3.15</t>
  </si>
  <si>
    <t>KEVIN</t>
  </si>
  <si>
    <t>154</t>
  </si>
  <si>
    <t>158</t>
  </si>
  <si>
    <t>159</t>
  </si>
  <si>
    <t>160</t>
  </si>
  <si>
    <t>161</t>
  </si>
  <si>
    <t>3.19</t>
  </si>
  <si>
    <t>162</t>
  </si>
  <si>
    <t>3.53</t>
  </si>
  <si>
    <t>163</t>
  </si>
  <si>
    <t>164</t>
  </si>
  <si>
    <t>165</t>
  </si>
  <si>
    <t>166</t>
  </si>
  <si>
    <t>3.63</t>
  </si>
  <si>
    <t>167</t>
  </si>
  <si>
    <t>168</t>
  </si>
  <si>
    <t>169</t>
  </si>
  <si>
    <t>170</t>
  </si>
  <si>
    <t>3.56</t>
  </si>
  <si>
    <t>171</t>
  </si>
  <si>
    <t>3.65</t>
  </si>
  <si>
    <t>172</t>
  </si>
  <si>
    <t>173</t>
  </si>
  <si>
    <t>0.94</t>
  </si>
  <si>
    <t>174</t>
  </si>
  <si>
    <t>175</t>
  </si>
  <si>
    <t>176</t>
  </si>
  <si>
    <t>3.69</t>
  </si>
  <si>
    <t>177</t>
  </si>
  <si>
    <t>178</t>
  </si>
  <si>
    <t>179</t>
  </si>
  <si>
    <t>0.00</t>
  </si>
  <si>
    <t>180</t>
  </si>
  <si>
    <t>3.67</t>
  </si>
  <si>
    <t>181</t>
  </si>
  <si>
    <t>182</t>
  </si>
  <si>
    <t>3.91</t>
  </si>
  <si>
    <t>183</t>
  </si>
  <si>
    <t>3.58</t>
  </si>
  <si>
    <t>184</t>
  </si>
  <si>
    <t>185</t>
  </si>
  <si>
    <t>DAVID RAHARJA</t>
  </si>
  <si>
    <t>186</t>
  </si>
  <si>
    <t>187</t>
  </si>
  <si>
    <t>188</t>
  </si>
  <si>
    <t>189</t>
  </si>
  <si>
    <t>3.94</t>
  </si>
  <si>
    <t>190</t>
  </si>
  <si>
    <t>3.48</t>
  </si>
  <si>
    <t>191</t>
  </si>
  <si>
    <t>3.82</t>
  </si>
  <si>
    <t>192</t>
  </si>
  <si>
    <t>193</t>
  </si>
  <si>
    <t>DANIEL</t>
  </si>
  <si>
    <t>194</t>
  </si>
  <si>
    <t>VERONIKA</t>
  </si>
  <si>
    <t>0.09</t>
  </si>
  <si>
    <t>195</t>
  </si>
  <si>
    <t>196</t>
  </si>
  <si>
    <t>3.90</t>
  </si>
  <si>
    <t>197</t>
  </si>
  <si>
    <t>198</t>
  </si>
  <si>
    <t>199</t>
  </si>
  <si>
    <t>200</t>
  </si>
  <si>
    <t>201</t>
  </si>
  <si>
    <t>202</t>
  </si>
  <si>
    <t>203</t>
  </si>
  <si>
    <t>3.47</t>
  </si>
  <si>
    <t>204</t>
  </si>
  <si>
    <t>205</t>
  </si>
  <si>
    <t>206</t>
  </si>
  <si>
    <t>207</t>
  </si>
  <si>
    <t>3.78</t>
  </si>
  <si>
    <t>208</t>
  </si>
  <si>
    <t>209</t>
  </si>
  <si>
    <t>210</t>
  </si>
  <si>
    <t>211</t>
  </si>
  <si>
    <t>3.64</t>
  </si>
  <si>
    <t>212</t>
  </si>
  <si>
    <t>213</t>
  </si>
  <si>
    <t>214</t>
  </si>
  <si>
    <t>215</t>
  </si>
  <si>
    <t>3.27</t>
  </si>
  <si>
    <t>216</t>
  </si>
  <si>
    <t>217</t>
  </si>
  <si>
    <t>218</t>
  </si>
  <si>
    <t>219</t>
  </si>
  <si>
    <t>220</t>
  </si>
  <si>
    <t>221</t>
  </si>
  <si>
    <t>222</t>
  </si>
  <si>
    <t>223</t>
  </si>
  <si>
    <t>224</t>
  </si>
  <si>
    <t>225</t>
  </si>
  <si>
    <t>226</t>
  </si>
  <si>
    <t>227</t>
  </si>
  <si>
    <t>228</t>
  </si>
  <si>
    <t>229</t>
  </si>
  <si>
    <t>230</t>
  </si>
  <si>
    <t>CUTI</t>
  </si>
  <si>
    <t>231</t>
  </si>
  <si>
    <t>232</t>
  </si>
  <si>
    <t>233</t>
  </si>
  <si>
    <t>3.38</t>
  </si>
  <si>
    <t>234</t>
  </si>
  <si>
    <t>235</t>
  </si>
  <si>
    <t>236</t>
  </si>
  <si>
    <t>237</t>
  </si>
  <si>
    <t>3.46</t>
  </si>
  <si>
    <t>238</t>
  </si>
  <si>
    <t>239</t>
  </si>
  <si>
    <t>240</t>
  </si>
  <si>
    <t>3.81</t>
  </si>
  <si>
    <t>241</t>
  </si>
  <si>
    <t>242</t>
  </si>
  <si>
    <t>243</t>
  </si>
  <si>
    <t>244</t>
  </si>
  <si>
    <t>245</t>
  </si>
  <si>
    <t>246</t>
  </si>
  <si>
    <t>2.26</t>
  </si>
  <si>
    <t>247</t>
  </si>
  <si>
    <t>248</t>
  </si>
  <si>
    <t>3.57</t>
  </si>
  <si>
    <t>249</t>
  </si>
  <si>
    <t>250</t>
  </si>
  <si>
    <t>251</t>
  </si>
  <si>
    <t>252</t>
  </si>
  <si>
    <t>253</t>
  </si>
  <si>
    <t>254</t>
  </si>
  <si>
    <t>255</t>
  </si>
  <si>
    <t>256</t>
  </si>
  <si>
    <t>257</t>
  </si>
  <si>
    <t>258</t>
  </si>
  <si>
    <t>259</t>
  </si>
  <si>
    <t>260</t>
  </si>
  <si>
    <t>3.71</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</si>
  <si>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</si>
  <si>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</si>
  <si>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</si>
  <si>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</si>
  <si>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</si>
  <si>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</si>
  <si>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</si>
  <si>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</si>
  <si>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</si>
  <si>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</si>
  <si>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</si>
  <si>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</si>
  <si>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</si>
  <si>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</si>
  <si>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</si>
  <si>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</si>
  <si>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</si>
  <si>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</si>
  <si>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</si>
  <si>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</si>
  <si>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</si>
  <si>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</si>
  <si>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</si>
  <si>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</si>
  <si>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</si>
  <si>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</si>
  <si>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</si>
  <si>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</si>
  <si>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</si>
  <si>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</si>
  <si>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</si>
  <si>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</si>
  <si>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</si>
  <si>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2.95</t>
  </si>
  <si>
    <t>294</t>
  </si>
  <si>
    <t>295</t>
  </si>
  <si>
    <t>296</t>
  </si>
  <si>
    <t>297</t>
  </si>
  <si>
    <t>298</t>
  </si>
  <si>
    <t>299</t>
  </si>
  <si>
    <t>300</t>
  </si>
  <si>
    <t>301</t>
  </si>
  <si>
    <t>302</t>
  </si>
  <si>
    <t>303</t>
  </si>
  <si>
    <t>304</t>
  </si>
  <si>
    <t>305</t>
  </si>
  <si>
    <t>3.39</t>
  </si>
  <si>
    <t>3.96</t>
  </si>
  <si>
    <t>3.75</t>
  </si>
  <si>
    <t>3.88</t>
  </si>
  <si>
    <t>KELVIN</t>
  </si>
  <si>
    <t>ALBERT</t>
  </si>
  <si>
    <t>JIMMY SANTOSO</t>
  </si>
  <si>
    <t>3.49</t>
  </si>
  <si>
    <t>2.99</t>
  </si>
  <si>
    <t>FERNANDO</t>
  </si>
  <si>
    <t>3.83</t>
  </si>
  <si>
    <t>MARIO</t>
  </si>
  <si>
    <t>4.00</t>
  </si>
  <si>
    <t>3.52</t>
  </si>
  <si>
    <t>3.85</t>
  </si>
  <si>
    <t>1.90</t>
  </si>
  <si>
    <t>3.40</t>
  </si>
  <si>
    <t>LEONARDO</t>
  </si>
  <si>
    <t>1.06</t>
  </si>
  <si>
    <t>825160011</t>
  </si>
  <si>
    <t>REFINDO ISHAK HAMONANGAN</t>
  </si>
  <si>
    <t>825160019</t>
  </si>
  <si>
    <t>EDEN - HIZKIA</t>
  </si>
  <si>
    <t>1.83</t>
  </si>
  <si>
    <t>825160020</t>
  </si>
  <si>
    <t>MUHAMMAD ALWALID</t>
  </si>
  <si>
    <t>825160022</t>
  </si>
  <si>
    <t>FALANDY</t>
  </si>
  <si>
    <t>825160031</t>
  </si>
  <si>
    <t>WILLIAM HERMAWAN</t>
  </si>
  <si>
    <t>825160032</t>
  </si>
  <si>
    <t>GALIH RAKHMAWAN</t>
  </si>
  <si>
    <t>825160040</t>
  </si>
  <si>
    <t>RIVALDI RAHARJA</t>
  </si>
  <si>
    <t>1.22</t>
  </si>
  <si>
    <t>825170001</t>
  </si>
  <si>
    <t>NICO PRATAMIN</t>
  </si>
  <si>
    <t>0.16</t>
  </si>
  <si>
    <t>825170002</t>
  </si>
  <si>
    <t>JUAN VALERIAN</t>
  </si>
  <si>
    <t>825170003</t>
  </si>
  <si>
    <t>ADZIE FATHARONI</t>
  </si>
  <si>
    <t>825170004</t>
  </si>
  <si>
    <t>RABIATUL MAULIDYA</t>
  </si>
  <si>
    <t>1.52</t>
  </si>
  <si>
    <t>825170005</t>
  </si>
  <si>
    <t>KEVIN STEVANUS</t>
  </si>
  <si>
    <t>825170007</t>
  </si>
  <si>
    <t>DWI RETNO FIBRIYANTI</t>
  </si>
  <si>
    <t>825170009</t>
  </si>
  <si>
    <t>ALEXANDER LEONARDO KURNIAWAN</t>
  </si>
  <si>
    <t>825170010</t>
  </si>
  <si>
    <t>TANIA CHEN</t>
  </si>
  <si>
    <t>825170011</t>
  </si>
  <si>
    <t>LIDYA ASTUTI</t>
  </si>
  <si>
    <t>825170012</t>
  </si>
  <si>
    <t>RITZCO PUTRA</t>
  </si>
  <si>
    <t>0.17</t>
  </si>
  <si>
    <t>825170013</t>
  </si>
  <si>
    <t>JOSEPH CHRISTIAN LONGKENG</t>
  </si>
  <si>
    <t>825170014</t>
  </si>
  <si>
    <t>825170015</t>
  </si>
  <si>
    <t>ELIEZER</t>
  </si>
  <si>
    <t>825170016</t>
  </si>
  <si>
    <t>BRIAN JAYO SIDHARTA</t>
  </si>
  <si>
    <t>825170017</t>
  </si>
  <si>
    <t>DARWIN RAHARJA</t>
  </si>
  <si>
    <t>825170018</t>
  </si>
  <si>
    <t>HARTANTO KUSNARDI</t>
  </si>
  <si>
    <t>825170019</t>
  </si>
  <si>
    <t>825170020</t>
  </si>
  <si>
    <t>RONNY SUTANTO</t>
  </si>
  <si>
    <t>825170021</t>
  </si>
  <si>
    <t>REYNALDI</t>
  </si>
  <si>
    <t>3.32</t>
  </si>
  <si>
    <t>825170022</t>
  </si>
  <si>
    <t>ARI SUSANTO</t>
  </si>
  <si>
    <t>825170023</t>
  </si>
  <si>
    <t>DEVIN CHEN</t>
  </si>
  <si>
    <t>2.74</t>
  </si>
  <si>
    <t>825170024</t>
  </si>
  <si>
    <t>SYAFA SAPHIRA</t>
  </si>
  <si>
    <t>825170025</t>
  </si>
  <si>
    <t>GABRIELLA JUSTINE</t>
  </si>
  <si>
    <t>825170026</t>
  </si>
  <si>
    <t>ONGKY LIANANDO</t>
  </si>
  <si>
    <t>825170027</t>
  </si>
  <si>
    <t>JOVIAN</t>
  </si>
  <si>
    <t>2.03</t>
  </si>
  <si>
    <t>825170028</t>
  </si>
  <si>
    <t>NELSON ANTONIO</t>
  </si>
  <si>
    <t>825170029</t>
  </si>
  <si>
    <t>DIRA AMANDA SABRINA</t>
  </si>
  <si>
    <t>825170030</t>
  </si>
  <si>
    <t>IVAN MALEAKHI SUHENDRA</t>
  </si>
  <si>
    <t>825170031</t>
  </si>
  <si>
    <t>NICO</t>
  </si>
  <si>
    <t>825170032</t>
  </si>
  <si>
    <t>EDUARDO</t>
  </si>
  <si>
    <t>825170033</t>
  </si>
  <si>
    <t>PANTAREI TANTRA BAHANA</t>
  </si>
  <si>
    <t>825170034</t>
  </si>
  <si>
    <t>VIOLA GABRIELLA</t>
  </si>
  <si>
    <t>825170035</t>
  </si>
  <si>
    <t>FRIEDERICH</t>
  </si>
  <si>
    <t>825170036</t>
  </si>
  <si>
    <t>825170037</t>
  </si>
  <si>
    <t>WILLIAM YAPUTRA</t>
  </si>
  <si>
    <t>825170038</t>
  </si>
  <si>
    <t>ZAINUL HASAN</t>
  </si>
  <si>
    <t>825170039</t>
  </si>
  <si>
    <t>HENRY MALIANTO</t>
  </si>
  <si>
    <t>825170040</t>
  </si>
  <si>
    <t>GALVIN GUNAWAN</t>
  </si>
  <si>
    <t>1.65</t>
  </si>
  <si>
    <t>825170041</t>
  </si>
  <si>
    <t>HIZKIA NATANAEL</t>
  </si>
  <si>
    <t>825170042</t>
  </si>
  <si>
    <t>BASTIAN PARLUHUTAN</t>
  </si>
  <si>
    <t>1.25</t>
  </si>
  <si>
    <t>825170043</t>
  </si>
  <si>
    <t>MICHAEL OWEN WIJAYA</t>
  </si>
  <si>
    <t>825170044</t>
  </si>
  <si>
    <t>ADITYA RIZKI ALKAUTSAR</t>
  </si>
  <si>
    <t>825170045</t>
  </si>
  <si>
    <t>MATHILDA FRANSISCA PALINDATU KABANGNGA</t>
  </si>
  <si>
    <t>825170046</t>
  </si>
  <si>
    <t>VINCLINT VANLION SIANATA</t>
  </si>
  <si>
    <t>825170047</t>
  </si>
  <si>
    <t>ROBBY CASHIRAGI</t>
  </si>
  <si>
    <t>825170048</t>
  </si>
  <si>
    <t>MALVIN SELO</t>
  </si>
  <si>
    <t>825170049</t>
  </si>
  <si>
    <t>ERVAN SETIAWAN</t>
  </si>
  <si>
    <t>2.27</t>
  </si>
  <si>
    <t>825170050</t>
  </si>
  <si>
    <t>RYAN BAYU NUGROHO</t>
  </si>
  <si>
    <t>825170051</t>
  </si>
  <si>
    <t>FELIX</t>
  </si>
  <si>
    <t>825170052</t>
  </si>
  <si>
    <t>RAMA PUTRA KUSWIDYAWAN</t>
  </si>
  <si>
    <t>825170053</t>
  </si>
  <si>
    <t>SHERLIN ALEX SANDRA</t>
  </si>
  <si>
    <t>825170054</t>
  </si>
  <si>
    <t>STEVEN WINATHA</t>
  </si>
  <si>
    <t>0.54</t>
  </si>
  <si>
    <t>825170055</t>
  </si>
  <si>
    <t>JONATHAN GABRIEL KEREH</t>
  </si>
  <si>
    <t>825170056</t>
  </si>
  <si>
    <t>NOERTANDY JAYA</t>
  </si>
  <si>
    <t>825172001</t>
  </si>
  <si>
    <t>DONNI KURNIAWAN</t>
  </si>
  <si>
    <t>825179101</t>
  </si>
  <si>
    <t>JESSICA PUTRI</t>
  </si>
  <si>
    <t>825179201</t>
  </si>
  <si>
    <t>MUHAMMAD FARHAN HAIDAR</t>
  </si>
  <si>
    <t>825180001</t>
  </si>
  <si>
    <t>CALVIN</t>
  </si>
  <si>
    <t>2.91</t>
  </si>
  <si>
    <t>825180002</t>
  </si>
  <si>
    <t>RICKY SURYA</t>
  </si>
  <si>
    <t>825180003</t>
  </si>
  <si>
    <t>RICO SURYA</t>
  </si>
  <si>
    <t>825180004</t>
  </si>
  <si>
    <t>NELSON HALIM</t>
  </si>
  <si>
    <t>825180005</t>
  </si>
  <si>
    <t>KEVIN FEDELICO</t>
  </si>
  <si>
    <t>825180006</t>
  </si>
  <si>
    <t>EDWIN EMERSON MAROJAHAN</t>
  </si>
  <si>
    <t>0.23</t>
  </si>
  <si>
    <t>825180007</t>
  </si>
  <si>
    <t>825180008</t>
  </si>
  <si>
    <t>DEISTATA MAJIORE</t>
  </si>
  <si>
    <t>825180009</t>
  </si>
  <si>
    <t>ALEXANDER ASSISI</t>
  </si>
  <si>
    <t>825180010</t>
  </si>
  <si>
    <t>RICKY GIOVANNI PUTRA TANJAYA</t>
  </si>
  <si>
    <t>825180011</t>
  </si>
  <si>
    <t>DAVIN SEBASTIAN</t>
  </si>
  <si>
    <t>825180012</t>
  </si>
  <si>
    <t>JONATHAN HENDIKA</t>
  </si>
  <si>
    <t>825180013</t>
  </si>
  <si>
    <t>MATTHEW ANDREW</t>
  </si>
  <si>
    <t>825180014</t>
  </si>
  <si>
    <t>WILSON</t>
  </si>
  <si>
    <t>825180015</t>
  </si>
  <si>
    <t>ALVIN HANSELINUS</t>
  </si>
  <si>
    <t>825180016</t>
  </si>
  <si>
    <t>KENT WIRIANATA</t>
  </si>
  <si>
    <t>825180017</t>
  </si>
  <si>
    <t>ENJEL DHAMMA SHANTY</t>
  </si>
  <si>
    <t>825180018</t>
  </si>
  <si>
    <t>ARI SETIAWAN SUSANTO</t>
  </si>
  <si>
    <t>825180019</t>
  </si>
  <si>
    <t>JONATHAN SENA</t>
  </si>
  <si>
    <t>825180020</t>
  </si>
  <si>
    <t>CYNTHIA PURNOMO</t>
  </si>
  <si>
    <t>825180021</t>
  </si>
  <si>
    <t>DONNY</t>
  </si>
  <si>
    <t>825180022</t>
  </si>
  <si>
    <t>VINCENT SANDRYA</t>
  </si>
  <si>
    <t>825180023</t>
  </si>
  <si>
    <t>DESELLA CHANDRA</t>
  </si>
  <si>
    <t>825180024</t>
  </si>
  <si>
    <t>TANIA LORENZA</t>
  </si>
  <si>
    <t>2.54</t>
  </si>
  <si>
    <t>825180025</t>
  </si>
  <si>
    <t>RAYMOND THEN</t>
  </si>
  <si>
    <t>825180026</t>
  </si>
  <si>
    <t>ANGELINE ALVIONA MEILYTA</t>
  </si>
  <si>
    <t>825180027</t>
  </si>
  <si>
    <t>DANIEL JORDAN ALEXIS KRISTIAWAN</t>
  </si>
  <si>
    <t>825180028</t>
  </si>
  <si>
    <t>ALVIN SARMAN CAM</t>
  </si>
  <si>
    <t>825180029</t>
  </si>
  <si>
    <t>ELVIS MALVIN</t>
  </si>
  <si>
    <t>825180030</t>
  </si>
  <si>
    <t>DESDWIRASENA NAZILI AKBAR</t>
  </si>
  <si>
    <t>825180031</t>
  </si>
  <si>
    <t>FELICIA KASINDA</t>
  </si>
  <si>
    <t>825180032</t>
  </si>
  <si>
    <t>IVAN SUTEDJO</t>
  </si>
  <si>
    <t>825180033</t>
  </si>
  <si>
    <t>LIFEDLY RONALDO DAVE MANUEKE</t>
  </si>
  <si>
    <t>1.66</t>
  </si>
  <si>
    <t>825180034</t>
  </si>
  <si>
    <t>NOVIANDI DARMAWAN</t>
  </si>
  <si>
    <t>825180035</t>
  </si>
  <si>
    <t>SURYA DHARMA</t>
  </si>
  <si>
    <t>825180036</t>
  </si>
  <si>
    <t>SEAN REYNOLD SAPUTRO</t>
  </si>
  <si>
    <t>1.00</t>
  </si>
  <si>
    <t>825180037</t>
  </si>
  <si>
    <t>RICO FEBRIANSAH</t>
  </si>
  <si>
    <t>825180038</t>
  </si>
  <si>
    <t>PRISCA BEBBY TRIOLA ANGELA MULYONO</t>
  </si>
  <si>
    <t>825180039</t>
  </si>
  <si>
    <t>VICTOR FEMONA LAOLI</t>
  </si>
  <si>
    <t>825180040</t>
  </si>
  <si>
    <t>ALIVIA FITRIANI AMANTO</t>
  </si>
  <si>
    <t>825180041</t>
  </si>
  <si>
    <t>FAWWAZI ALAMSYAH</t>
  </si>
  <si>
    <t>825180042</t>
  </si>
  <si>
    <t>TEODORA RIKIE LAM</t>
  </si>
  <si>
    <t>825180043</t>
  </si>
  <si>
    <t>FEBRIAN</t>
  </si>
  <si>
    <t>825180044</t>
  </si>
  <si>
    <t>MARTINUS JEFFREY ARIAWAN</t>
  </si>
  <si>
    <t>825180045</t>
  </si>
  <si>
    <t>VERRENT PRISCHILA</t>
  </si>
  <si>
    <t>825180046</t>
  </si>
  <si>
    <t>ICASIA ANGELITA PUTRI</t>
  </si>
  <si>
    <t>825180047</t>
  </si>
  <si>
    <t>DANIEL CRISTIAN</t>
  </si>
  <si>
    <t>825180048</t>
  </si>
  <si>
    <t>SERGI HOBER</t>
  </si>
  <si>
    <t>1.51</t>
  </si>
  <si>
    <t>825180049</t>
  </si>
  <si>
    <t>GABRIEL RIZKY DWI PUTRA KWANANDA</t>
  </si>
  <si>
    <t>825180050</t>
  </si>
  <si>
    <t>ALBERTUS PRIYANTO</t>
  </si>
  <si>
    <t>825180051</t>
  </si>
  <si>
    <t>KEVIN CHRISTIANTO</t>
  </si>
  <si>
    <t>825180052</t>
  </si>
  <si>
    <t>WILLIAM SUSANTO DHARMAWAN</t>
  </si>
  <si>
    <t>825180053</t>
  </si>
  <si>
    <t>ROCHAELIA REFALDA</t>
  </si>
  <si>
    <t>825180054</t>
  </si>
  <si>
    <t>KENNY YAN</t>
  </si>
  <si>
    <t>825180055</t>
  </si>
  <si>
    <t>YOHANES RIO MULIANTO PUTRA</t>
  </si>
  <si>
    <t>825180056</t>
  </si>
  <si>
    <t>ANGRIAWAN YEVANCE MAILOA</t>
  </si>
  <si>
    <t>825180057</t>
  </si>
  <si>
    <t>ONIL PUTRA ANANTA</t>
  </si>
  <si>
    <t>1.93</t>
  </si>
  <si>
    <t>825180058</t>
  </si>
  <si>
    <t>JASON IRVIN CAN</t>
  </si>
  <si>
    <t>825180059</t>
  </si>
  <si>
    <t>LUKE IRAWAN</t>
  </si>
  <si>
    <t>825180060</t>
  </si>
  <si>
    <t>KEVIN SATRIA YUNUS</t>
  </si>
  <si>
    <t>1.27</t>
  </si>
  <si>
    <t>825180061</t>
  </si>
  <si>
    <t>AZARYA PANCA</t>
  </si>
  <si>
    <t>825180062</t>
  </si>
  <si>
    <t>ANASTASIA AURELIA</t>
  </si>
  <si>
    <t>825180063</t>
  </si>
  <si>
    <t>KAREL PRASETYA ROBBYANTOH</t>
  </si>
  <si>
    <t>825180064</t>
  </si>
  <si>
    <t>PATTRICK LEVIN SUNJAYA</t>
  </si>
  <si>
    <t>825180065</t>
  </si>
  <si>
    <t>AMALIA NURAIN</t>
  </si>
  <si>
    <t>825180066</t>
  </si>
  <si>
    <t>SELLA ANDREAN</t>
  </si>
  <si>
    <t>825180067</t>
  </si>
  <si>
    <t>ANGELINA NATALY DHIAN</t>
  </si>
  <si>
    <t>825180068</t>
  </si>
  <si>
    <t>JEFFREY TRIGUNA</t>
  </si>
  <si>
    <t>825180069</t>
  </si>
  <si>
    <t>ARYA HARTONO WINATA</t>
  </si>
  <si>
    <t>825180070</t>
  </si>
  <si>
    <t>JETT ENRICO CHANDRA</t>
  </si>
  <si>
    <t>825180071</t>
  </si>
  <si>
    <t>THOMAS KHUN</t>
  </si>
  <si>
    <t>825180072</t>
  </si>
  <si>
    <t>DHEWA GUNAWAN PUTRA</t>
  </si>
  <si>
    <t>825180073</t>
  </si>
  <si>
    <t>APOSTEL HOREB</t>
  </si>
  <si>
    <t>825180074</t>
  </si>
  <si>
    <t>NUR JIHAN INSANI</t>
  </si>
  <si>
    <t>825180075</t>
  </si>
  <si>
    <t>WINDAH MARIA SONIA NADIAH HUTAGALUNG</t>
  </si>
  <si>
    <t>825180076</t>
  </si>
  <si>
    <t>AZZAHRA ERFA ZETTIRA</t>
  </si>
  <si>
    <t>825180077</t>
  </si>
  <si>
    <t>ANDRE BLENSKI</t>
  </si>
  <si>
    <t>825180078</t>
  </si>
  <si>
    <t>ANDREW DAVYN DANIEL</t>
  </si>
  <si>
    <t>825180079</t>
  </si>
  <si>
    <t>WILLSON STEVEN ZEBUA</t>
  </si>
  <si>
    <t>825180080</t>
  </si>
  <si>
    <t>VICKY ERSAVERO</t>
  </si>
  <si>
    <t>825180081</t>
  </si>
  <si>
    <t>YEPIN ANDRIANUS</t>
  </si>
  <si>
    <t>825180082</t>
  </si>
  <si>
    <t>HENDRY HERNANDO</t>
  </si>
  <si>
    <t>825180083</t>
  </si>
  <si>
    <t>MELANI ASTA ROSARI</t>
  </si>
  <si>
    <t>825180084</t>
  </si>
  <si>
    <t>LUIS STEVEN</t>
  </si>
  <si>
    <t>3.06</t>
  </si>
  <si>
    <t>825180085</t>
  </si>
  <si>
    <t>VAVIN RAYMOND SIJABAT</t>
  </si>
  <si>
    <t>2.44</t>
  </si>
  <si>
    <t>825180086</t>
  </si>
  <si>
    <t>ANDIHKA PRIMA KOROMPOT</t>
  </si>
  <si>
    <t>825189201</t>
  </si>
  <si>
    <t>SASKIA FEBE FEDHORA</t>
  </si>
  <si>
    <t>825190001</t>
  </si>
  <si>
    <t>RICO HANDOYO</t>
  </si>
  <si>
    <t>825190002</t>
  </si>
  <si>
    <t>ARYA BINTANG SAPUTRA</t>
  </si>
  <si>
    <t>825190003</t>
  </si>
  <si>
    <t>825190004</t>
  </si>
  <si>
    <t>ALFONSIUS ANTONNIO</t>
  </si>
  <si>
    <t>825190005</t>
  </si>
  <si>
    <t>FERBIAN</t>
  </si>
  <si>
    <t>825190006</t>
  </si>
  <si>
    <t>ARVELIA YOSHIANNE ANGGIE</t>
  </si>
  <si>
    <t>825190007</t>
  </si>
  <si>
    <t>DAVID</t>
  </si>
  <si>
    <t>825190009</t>
  </si>
  <si>
    <t>CHINTIA SENTOSA</t>
  </si>
  <si>
    <t>0.05</t>
  </si>
  <si>
    <t>825190010</t>
  </si>
  <si>
    <t>825190011</t>
  </si>
  <si>
    <t>ROMI BARKAH SUAS</t>
  </si>
  <si>
    <t>825190012</t>
  </si>
  <si>
    <t>YUNITA</t>
  </si>
  <si>
    <t>825190013</t>
  </si>
  <si>
    <t>CHRISTINE YULIANA FUADY</t>
  </si>
  <si>
    <t>825190014</t>
  </si>
  <si>
    <t>YOHANES VINCENT JUNAIDI</t>
  </si>
  <si>
    <t>825190015</t>
  </si>
  <si>
    <t>JONATHAN SURYA SASWITA</t>
  </si>
  <si>
    <t>825190016</t>
  </si>
  <si>
    <t>KEVIN MARZELINO</t>
  </si>
  <si>
    <t>825190017</t>
  </si>
  <si>
    <t>VERA FELIA</t>
  </si>
  <si>
    <t>825190018</t>
  </si>
  <si>
    <t>REZA GHAUDI FARHAD</t>
  </si>
  <si>
    <t>825190019</t>
  </si>
  <si>
    <t>KRISTOPHER HALIM</t>
  </si>
  <si>
    <t>825190020</t>
  </si>
  <si>
    <t>JENSEN WANG</t>
  </si>
  <si>
    <t>825190021</t>
  </si>
  <si>
    <t>VIA ANGELIKA</t>
  </si>
  <si>
    <t>825190022</t>
  </si>
  <si>
    <t>NOVILIA</t>
  </si>
  <si>
    <t>825190023</t>
  </si>
  <si>
    <t>AGNES CAROLINA</t>
  </si>
  <si>
    <t>825190024</t>
  </si>
  <si>
    <t>JOLIE FELICIA</t>
  </si>
  <si>
    <t>825190025</t>
  </si>
  <si>
    <t>MONICA SAPUTRA</t>
  </si>
  <si>
    <t>825190026</t>
  </si>
  <si>
    <t>TANIA EVRITA</t>
  </si>
  <si>
    <t>825190027</t>
  </si>
  <si>
    <t>825190028</t>
  </si>
  <si>
    <t>NATALICIA MARGATAN</t>
  </si>
  <si>
    <t>825190029</t>
  </si>
  <si>
    <t>MUHAMMAD FARRAS</t>
  </si>
  <si>
    <t>825190030</t>
  </si>
  <si>
    <t>KEVIN SUTANTO</t>
  </si>
  <si>
    <t>825190031</t>
  </si>
  <si>
    <t>SISKA LOGITO</t>
  </si>
  <si>
    <t>825190032</t>
  </si>
  <si>
    <t>HANSEN JUNAIDI</t>
  </si>
  <si>
    <t>825190033</t>
  </si>
  <si>
    <t>825190034</t>
  </si>
  <si>
    <t>SHELA</t>
  </si>
  <si>
    <t>825190035</t>
  </si>
  <si>
    <t>KRISTY TIFFANI</t>
  </si>
  <si>
    <t>825190036</t>
  </si>
  <si>
    <t>MEGA PERTIWI</t>
  </si>
  <si>
    <t>825190037</t>
  </si>
  <si>
    <t>FRANSISKA LUMINOVITA</t>
  </si>
  <si>
    <t>825190038</t>
  </si>
  <si>
    <t>WINNI</t>
  </si>
  <si>
    <t>825190039</t>
  </si>
  <si>
    <t>NAGATAH MULIA</t>
  </si>
  <si>
    <t>825190040</t>
  </si>
  <si>
    <t>JESSEN</t>
  </si>
  <si>
    <t>825190041</t>
  </si>
  <si>
    <t>FERDY</t>
  </si>
  <si>
    <t>825190042</t>
  </si>
  <si>
    <t>JUAN GILLAND DJONI</t>
  </si>
  <si>
    <t>825190043</t>
  </si>
  <si>
    <t>RENALDI FERNANDI</t>
  </si>
  <si>
    <t>825190044</t>
  </si>
  <si>
    <t>JACOBUS CHRISTIAN ANDIJAYA</t>
  </si>
  <si>
    <t>825190045</t>
  </si>
  <si>
    <t>RICHARD</t>
  </si>
  <si>
    <t>825190046</t>
  </si>
  <si>
    <t>MICHELLE DEBORA WIDJAJA</t>
  </si>
  <si>
    <t>825190047</t>
  </si>
  <si>
    <t>TAMARA VIOLETA</t>
  </si>
  <si>
    <t>825190048</t>
  </si>
  <si>
    <t>EDRIC ARYANTO</t>
  </si>
  <si>
    <t>825190049</t>
  </si>
  <si>
    <t>ROBIN</t>
  </si>
  <si>
    <t>825190050</t>
  </si>
  <si>
    <t>RIO CHANDRA</t>
  </si>
  <si>
    <t>825190051</t>
  </si>
  <si>
    <t>JORDAN FERNANDES</t>
  </si>
  <si>
    <t>825190052</t>
  </si>
  <si>
    <t>JEREMY JONATHAN</t>
  </si>
  <si>
    <t>825190053</t>
  </si>
  <si>
    <t>JUAN ELBER KRISTIAN</t>
  </si>
  <si>
    <t>825190054</t>
  </si>
  <si>
    <t>RICKY SOEPUTRA</t>
  </si>
  <si>
    <t>825190055</t>
  </si>
  <si>
    <t>RAYNALDY</t>
  </si>
  <si>
    <t>2.92</t>
  </si>
  <si>
    <t>825190056</t>
  </si>
  <si>
    <t>HANSEN</t>
  </si>
  <si>
    <t>825190057</t>
  </si>
  <si>
    <t>MUHAMMAD KEIZA ARRISYAPUTRA</t>
  </si>
  <si>
    <t>825190058</t>
  </si>
  <si>
    <t>CARLENE LIM</t>
  </si>
  <si>
    <t>825190059</t>
  </si>
  <si>
    <t>EVANGELYN YOVITA</t>
  </si>
  <si>
    <t>825190060</t>
  </si>
  <si>
    <t>825190061</t>
  </si>
  <si>
    <t>SAMANTA LIVIA</t>
  </si>
  <si>
    <t>825190062</t>
  </si>
  <si>
    <t>DANIELO</t>
  </si>
  <si>
    <t>825190063</t>
  </si>
  <si>
    <t>HADINATA REYNADI</t>
  </si>
  <si>
    <t>825190064</t>
  </si>
  <si>
    <t>JOHAN TJUNG</t>
  </si>
  <si>
    <t>825190065</t>
  </si>
  <si>
    <t>AXEL MIKAYA</t>
  </si>
  <si>
    <t>825190066</t>
  </si>
  <si>
    <t>EVLINA FEBBI SANTIKA</t>
  </si>
  <si>
    <t>825190067</t>
  </si>
  <si>
    <t>IGNATIUS LORENZO</t>
  </si>
  <si>
    <t>825190068</t>
  </si>
  <si>
    <t>OKTAVIANY BELLY</t>
  </si>
  <si>
    <t>825190069</t>
  </si>
  <si>
    <t>2.78</t>
  </si>
  <si>
    <t>825190070</t>
  </si>
  <si>
    <t>HANSENN DUSTIN KEANE</t>
  </si>
  <si>
    <t>825190071</t>
  </si>
  <si>
    <t>JESSICA HENRY</t>
  </si>
  <si>
    <t>825190072</t>
  </si>
  <si>
    <t>YUSUF ADI KRISTIANTO</t>
  </si>
  <si>
    <t>0.11</t>
  </si>
  <si>
    <t>825190074</t>
  </si>
  <si>
    <t>RESNU RIFNALDY</t>
  </si>
  <si>
    <t>825190075</t>
  </si>
  <si>
    <t>VISANT TRISTAN GUMILANG</t>
  </si>
  <si>
    <t>825190076</t>
  </si>
  <si>
    <t>ADRIYATI SULIS</t>
  </si>
  <si>
    <t>825190077</t>
  </si>
  <si>
    <t>ZALSHA DESI RAMADHANI</t>
  </si>
  <si>
    <t>825190078</t>
  </si>
  <si>
    <t>MUHAMAD FAZRUL MAULANA</t>
  </si>
  <si>
    <t>825190079</t>
  </si>
  <si>
    <t>ROBBY FELIX HALIM</t>
  </si>
  <si>
    <t>825190080</t>
  </si>
  <si>
    <t>GLENVIN KIAMIDI</t>
  </si>
  <si>
    <t>825190081</t>
  </si>
  <si>
    <t>YANUAR ARIWIDYANINGRUM</t>
  </si>
  <si>
    <t>825190082</t>
  </si>
  <si>
    <t>RAMADHONY SUGIARTO</t>
  </si>
  <si>
    <t>825190083</t>
  </si>
  <si>
    <t>YOS HELINE LAURA M. PURBA</t>
  </si>
  <si>
    <t>825190084</t>
  </si>
  <si>
    <t>GILBERT SANKO SUNARKO</t>
  </si>
  <si>
    <t>825190085</t>
  </si>
  <si>
    <t>HENRY SUSANTO</t>
  </si>
  <si>
    <t>825190086</t>
  </si>
  <si>
    <t>MARIA STEFANIA</t>
  </si>
  <si>
    <t>825190087</t>
  </si>
  <si>
    <t>FRANZ KEVIN</t>
  </si>
  <si>
    <t>825190088</t>
  </si>
  <si>
    <t>DIAZ RIDZKY ANANDIANTO</t>
  </si>
  <si>
    <t>825190089</t>
  </si>
  <si>
    <t>RUACH SAKADEWA</t>
  </si>
  <si>
    <t>825190090</t>
  </si>
  <si>
    <t>AHMAD YUSRAN IRFANSYAH</t>
  </si>
  <si>
    <t>825190091</t>
  </si>
  <si>
    <t>JARON VINCENT AULIA</t>
  </si>
  <si>
    <t>825190092</t>
  </si>
  <si>
    <t>NICOLA KRISTANTO</t>
  </si>
  <si>
    <t>825190093</t>
  </si>
  <si>
    <t>SAMUEL KURNIAWAN</t>
  </si>
  <si>
    <t>825190094</t>
  </si>
  <si>
    <t>SELIYARIDMA</t>
  </si>
  <si>
    <t>825190095</t>
  </si>
  <si>
    <t>ARISTHIA NADIANTI</t>
  </si>
  <si>
    <t>825190096</t>
  </si>
  <si>
    <t>RAHMA DELLA SAFITRI</t>
  </si>
  <si>
    <t>825190097</t>
  </si>
  <si>
    <t>BRYAN OWEN</t>
  </si>
  <si>
    <t>825190098</t>
  </si>
  <si>
    <t>JACELINE CHAN</t>
  </si>
  <si>
    <t>REGISTRASI</t>
  </si>
  <si>
    <t>825190099</t>
  </si>
  <si>
    <t>CHELSEN</t>
  </si>
  <si>
    <t>825190100</t>
  </si>
  <si>
    <t>ALLARA NAJLA GHANIYYAH</t>
  </si>
  <si>
    <t>825190101</t>
  </si>
  <si>
    <t>KENNEDY STEFANO</t>
  </si>
  <si>
    <t>825190102</t>
  </si>
  <si>
    <t>ABDURRAHMAN AL-HARITS</t>
  </si>
  <si>
    <t>825190103</t>
  </si>
  <si>
    <t>RAKHA ANTAREZA ADIPUTRA</t>
  </si>
  <si>
    <t>825190104</t>
  </si>
  <si>
    <t>THOMAS ANDREAS</t>
  </si>
  <si>
    <t>825190105</t>
  </si>
  <si>
    <t>MUHAMMAD CHOIRUL IMAM</t>
  </si>
  <si>
    <t>825190107</t>
  </si>
  <si>
    <t>REYNALDI SALIM</t>
  </si>
  <si>
    <t>825190108</t>
  </si>
  <si>
    <t>MUHAMMAD RADITYA VIVALDY</t>
  </si>
  <si>
    <t>825190109</t>
  </si>
  <si>
    <t>WILLIAM ALBERT RAJA SITOMPUL</t>
  </si>
  <si>
    <t>825190110</t>
  </si>
  <si>
    <t>ADINDA PUTRI RACHMADINA</t>
  </si>
  <si>
    <t>825199101</t>
  </si>
  <si>
    <t>FRANKY WIJAYA</t>
  </si>
  <si>
    <t>825199201</t>
  </si>
  <si>
    <t>KEVIN ANDERSON</t>
  </si>
  <si>
    <t>825200001</t>
  </si>
  <si>
    <t>AURELIA STEVANI</t>
  </si>
  <si>
    <t>825200002</t>
  </si>
  <si>
    <t>ERNESTITO JOVIAN</t>
  </si>
  <si>
    <t>825200003</t>
  </si>
  <si>
    <t>SIESILIA ANGELINA</t>
  </si>
  <si>
    <t>825200004</t>
  </si>
  <si>
    <t>THOMAS WENSEN</t>
  </si>
  <si>
    <t>825200005</t>
  </si>
  <si>
    <t>VIRA LEANANDA</t>
  </si>
  <si>
    <t>825200006</t>
  </si>
  <si>
    <t>RUBEN</t>
  </si>
  <si>
    <t>825200007</t>
  </si>
  <si>
    <t>YULIA LIM</t>
  </si>
  <si>
    <t>825200008</t>
  </si>
  <si>
    <t>ALDI RESALDI MAULANA</t>
  </si>
  <si>
    <t>825200009</t>
  </si>
  <si>
    <t>ZULFIKRI WISNU WARDHANA</t>
  </si>
  <si>
    <t>825200010</t>
  </si>
  <si>
    <t>WILSON VITORI</t>
  </si>
  <si>
    <t>825200011</t>
  </si>
  <si>
    <t>RONALD LIE</t>
  </si>
  <si>
    <t>825200012</t>
  </si>
  <si>
    <t>KHRISWANDY SETIAWAN</t>
  </si>
  <si>
    <t>825200013</t>
  </si>
  <si>
    <t>VEGA DHARMAWANSYAH</t>
  </si>
  <si>
    <t>825200014</t>
  </si>
  <si>
    <t>JONATHAN APRILIANTO WENANTA</t>
  </si>
  <si>
    <t>825200015</t>
  </si>
  <si>
    <t>825200016</t>
  </si>
  <si>
    <t>LISA MAGDALENA</t>
  </si>
  <si>
    <t>825200017</t>
  </si>
  <si>
    <t>SHARLENE ASHLEY CLARENCE</t>
  </si>
  <si>
    <t>825200018</t>
  </si>
  <si>
    <t>LIKO DYLAN</t>
  </si>
  <si>
    <t>825200019</t>
  </si>
  <si>
    <t>DEDI CHANDRA</t>
  </si>
  <si>
    <t>825200020</t>
  </si>
  <si>
    <t>BILLY WANG</t>
  </si>
  <si>
    <t>825200021</t>
  </si>
  <si>
    <t>ORLANDO CLAUDIO</t>
  </si>
  <si>
    <t>825200022</t>
  </si>
  <si>
    <t>STEVEN CANG</t>
  </si>
  <si>
    <t>825200023</t>
  </si>
  <si>
    <t>DAVE SINCLAIR</t>
  </si>
  <si>
    <t>825200024</t>
  </si>
  <si>
    <t>GILANG SASAN SAPUTRA</t>
  </si>
  <si>
    <t>825200025</t>
  </si>
  <si>
    <t>EDWARD BRAINARD PRANATA</t>
  </si>
  <si>
    <t>825200026</t>
  </si>
  <si>
    <t>GLORIA GILDA</t>
  </si>
  <si>
    <t>825200027</t>
  </si>
  <si>
    <t>GARY BENNET SAMUEL</t>
  </si>
  <si>
    <t>825200028</t>
  </si>
  <si>
    <t>FELIX FERNANDO BUNTORO</t>
  </si>
  <si>
    <t>825200029</t>
  </si>
  <si>
    <t>CHRISTOPHER SANTOSO</t>
  </si>
  <si>
    <t>825200030</t>
  </si>
  <si>
    <t>THOMAS JEFFREY IRWAN</t>
  </si>
  <si>
    <t>825200031</t>
  </si>
  <si>
    <t>KEVIN LUKAS</t>
  </si>
  <si>
    <t>825200032</t>
  </si>
  <si>
    <t>BRYANT JORDAN GOH</t>
  </si>
  <si>
    <t>825200033</t>
  </si>
  <si>
    <t>JOSH LOUIS</t>
  </si>
  <si>
    <t>825200034</t>
  </si>
  <si>
    <t>CHAVIA ROSSYERIN PRABOWO SUTJIADI</t>
  </si>
  <si>
    <t>825200035</t>
  </si>
  <si>
    <t>VALLIAN</t>
  </si>
  <si>
    <t>825200036</t>
  </si>
  <si>
    <t>MARCEL ALEXANDRO RUMBANG</t>
  </si>
  <si>
    <t>825200037</t>
  </si>
  <si>
    <t>JASON CHRISTIAN</t>
  </si>
  <si>
    <t>825200038</t>
  </si>
  <si>
    <t>825200039</t>
  </si>
  <si>
    <t>NADIA NATHA LIE</t>
  </si>
  <si>
    <t>825200040</t>
  </si>
  <si>
    <t>FERRY FERNANDO</t>
  </si>
  <si>
    <t>825200041</t>
  </si>
  <si>
    <t>MOHAMMAD FIKRI NURHUDA</t>
  </si>
  <si>
    <t>825200042</t>
  </si>
  <si>
    <t>GHRISYA YOHANA MARGARETHA</t>
  </si>
  <si>
    <t>825200043</t>
  </si>
  <si>
    <t>ULIYYA AZZAH</t>
  </si>
  <si>
    <t>825200044</t>
  </si>
  <si>
    <t>METHA TASYAKURAN ANDINI</t>
  </si>
  <si>
    <t>825200045</t>
  </si>
  <si>
    <t>RAHMA SANI FITRIA NUSA GANTINA</t>
  </si>
  <si>
    <t>825200046</t>
  </si>
  <si>
    <t>JONATHAN ADELWIN</t>
  </si>
  <si>
    <t>825200047</t>
  </si>
  <si>
    <t>825200048</t>
  </si>
  <si>
    <t>AURELIUS VALERIAN WIRAWAN</t>
  </si>
  <si>
    <t>825200049</t>
  </si>
  <si>
    <t>AFINA PUTRI DAYANTI</t>
  </si>
  <si>
    <t>825200050</t>
  </si>
  <si>
    <t>ERIC ANTHONY</t>
  </si>
  <si>
    <t>825200051</t>
  </si>
  <si>
    <t>FARID ARBIANSYAH</t>
  </si>
  <si>
    <t>825200052</t>
  </si>
  <si>
    <t>RIFALDY KAESAR ABRAR</t>
  </si>
  <si>
    <t>2.57</t>
  </si>
  <si>
    <t>825200053</t>
  </si>
  <si>
    <t>MELANIE NURLIES</t>
  </si>
  <si>
    <t>825200054</t>
  </si>
  <si>
    <t>STEVEN SETIAWAN</t>
  </si>
  <si>
    <t>825200055</t>
  </si>
  <si>
    <t>825200056</t>
  </si>
  <si>
    <t>FADHLAN FAKHRIZAL FAUZAINI</t>
  </si>
  <si>
    <t>825200057</t>
  </si>
  <si>
    <t>FRENCENT KINSELTON</t>
  </si>
  <si>
    <t>825200058</t>
  </si>
  <si>
    <t>TOMMY WIJAYA PUTRA</t>
  </si>
  <si>
    <t>825200059</t>
  </si>
  <si>
    <t>DANNISLEE DK</t>
  </si>
  <si>
    <t>825200060</t>
  </si>
  <si>
    <t>NICHOLAS SAPUTRA</t>
  </si>
  <si>
    <t>825200061</t>
  </si>
  <si>
    <t>MARCEL HUTAMA JOS</t>
  </si>
  <si>
    <t>825200062</t>
  </si>
  <si>
    <t>NABILA TIARA EL MAULA</t>
  </si>
  <si>
    <t>825200063</t>
  </si>
  <si>
    <t>JOHN KENNETH</t>
  </si>
  <si>
    <t>2.86</t>
  </si>
  <si>
    <t>825200064</t>
  </si>
  <si>
    <t>THOMAS FREDERICK</t>
  </si>
  <si>
    <t>825200065</t>
  </si>
  <si>
    <t>ROBIN SAPUTRA</t>
  </si>
  <si>
    <t>825200066</t>
  </si>
  <si>
    <t>825200067</t>
  </si>
  <si>
    <t>M FADHLI IHZA RASYAD</t>
  </si>
  <si>
    <t>825200068</t>
  </si>
  <si>
    <t>KEVIN DUGERY</t>
  </si>
  <si>
    <t>825200069</t>
  </si>
  <si>
    <t>NIZHAM KAMIL HIA</t>
  </si>
  <si>
    <t>825200070</t>
  </si>
  <si>
    <t>AGUNG DARMAWAN</t>
  </si>
  <si>
    <t>825200072</t>
  </si>
  <si>
    <t>TIARA MAHARANI AZKIA PUTRI</t>
  </si>
  <si>
    <t>825200073</t>
  </si>
  <si>
    <t>FAKHRI YUSUF ALFIANSYAH</t>
  </si>
  <si>
    <t>825200074</t>
  </si>
  <si>
    <t>FARASYA SYIFA HIDAYAT</t>
  </si>
  <si>
    <t>825200075</t>
  </si>
  <si>
    <t>KEVIN JASSON LIE</t>
  </si>
  <si>
    <t>825200076</t>
  </si>
  <si>
    <t>RIZKI RIAN ANUGRAHANI</t>
  </si>
  <si>
    <t>825200077</t>
  </si>
  <si>
    <t>CHRISTOPHER CALEB</t>
  </si>
  <si>
    <t>825200078</t>
  </si>
  <si>
    <t>ERIANA RETNO PUTRI</t>
  </si>
  <si>
    <t>825200079</t>
  </si>
  <si>
    <t>MICHELLE NAOMI YOAN VANESSA SITANGGANG</t>
  </si>
  <si>
    <t>825200080</t>
  </si>
  <si>
    <t>JOEL EKO BUDIANTO</t>
  </si>
  <si>
    <t>825200081</t>
  </si>
  <si>
    <t>VITO</t>
  </si>
  <si>
    <t>825200082</t>
  </si>
  <si>
    <t>YOSIA ALVIN LIE FANDY</t>
  </si>
  <si>
    <t>825200083</t>
  </si>
  <si>
    <t>AMANDA KEISHA ARNADI</t>
  </si>
  <si>
    <t>825200084</t>
  </si>
  <si>
    <t>CYRILLUS DAMAR SETYO WARDHANA</t>
  </si>
  <si>
    <t>825200085</t>
  </si>
  <si>
    <t>EZRA SHANDRA DEWI</t>
  </si>
  <si>
    <t>825200086</t>
  </si>
  <si>
    <t>FARADILA HERFIYANA</t>
  </si>
  <si>
    <t>825200088</t>
  </si>
  <si>
    <t>FELIX CIAWI</t>
  </si>
  <si>
    <t>825200089</t>
  </si>
  <si>
    <t>AHMAD ZUFAR</t>
  </si>
  <si>
    <t>2.73</t>
  </si>
  <si>
    <t>825200090</t>
  </si>
  <si>
    <t>SHRI SRISHTY</t>
  </si>
  <si>
    <t>3.35</t>
  </si>
  <si>
    <t>825200091</t>
  </si>
  <si>
    <t>WILLIAM ABRAM HATIGORAN</t>
  </si>
  <si>
    <t>825200092</t>
  </si>
  <si>
    <t>AURELLIA CLEARESTA SUMARLIE</t>
  </si>
  <si>
    <t>825200093</t>
  </si>
  <si>
    <t>RADITYA RIZKI ILHAMSYAH</t>
  </si>
  <si>
    <t>825200094</t>
  </si>
  <si>
    <t>KALIS JOVIAL TELAUMBANUA</t>
  </si>
  <si>
    <t>825200095</t>
  </si>
  <si>
    <t>ANDREAS</t>
  </si>
  <si>
    <t>825200096</t>
  </si>
  <si>
    <t>SEE SIP</t>
  </si>
  <si>
    <t>825200097</t>
  </si>
  <si>
    <t>MUHAMMAD RAKHA FATURAHMAN</t>
  </si>
  <si>
    <t>825200098</t>
  </si>
  <si>
    <t>WILLYAM JORDAN KUSUMA</t>
  </si>
  <si>
    <t>825200099</t>
  </si>
  <si>
    <t>RISKA PATRICIA ANGELIKA</t>
  </si>
  <si>
    <t>825200100</t>
  </si>
  <si>
    <t>FERDYAN TARIGAN</t>
  </si>
  <si>
    <t>825200101</t>
  </si>
  <si>
    <t>IZAM SUSILO MAHENDRA</t>
  </si>
  <si>
    <t>825200102</t>
  </si>
  <si>
    <t>WELCO</t>
  </si>
  <si>
    <t>825200103</t>
  </si>
  <si>
    <t>IMANHARIES BRATA WIRAATMADJA</t>
  </si>
  <si>
    <t>825200104</t>
  </si>
  <si>
    <t>DINDHA AYU APRILIA</t>
  </si>
  <si>
    <t>825200105</t>
  </si>
  <si>
    <t>TISA SUDARGO</t>
  </si>
  <si>
    <t>825200106</t>
  </si>
  <si>
    <t>MOHAMMAD FARADITYA EKA PUTRA</t>
  </si>
  <si>
    <t>825200107</t>
  </si>
  <si>
    <t>ALDY SUKARDI</t>
  </si>
  <si>
    <t>825200108</t>
  </si>
  <si>
    <t>ADDIB FAUZAN</t>
  </si>
  <si>
    <t>825200109</t>
  </si>
  <si>
    <t>GARIN EKIRANGGA SUTRISNA</t>
  </si>
  <si>
    <t>825200110</t>
  </si>
  <si>
    <t>ERIKA ARDYA MESIA PUTRI</t>
  </si>
  <si>
    <t>825200111</t>
  </si>
  <si>
    <t>RIDWAN</t>
  </si>
  <si>
    <t>1.47</t>
  </si>
  <si>
    <t>825200112</t>
  </si>
  <si>
    <t>DEMILE MARIANO</t>
  </si>
  <si>
    <t>1.88</t>
  </si>
  <si>
    <t>825200113</t>
  </si>
  <si>
    <t>RIVA AUDREY</t>
  </si>
  <si>
    <t>825190008</t>
  </si>
  <si>
    <t>DERREN CHRISSANTO</t>
  </si>
  <si>
    <t>KEHADIRAN</t>
  </si>
  <si>
    <t>DAFTAR CUTI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</si>
</sst>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9" tint="0.79998168889431442"/>
        <bgColor theme="9" tint="0.79998168889431442"/>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theme="9" tint="0.39997558519241921"/>
      </left>
      <right/>
      <top/>
      <bottom/>
      <diagonal/>
    </border>
    <border>
      <left/>
      <right style="thin">
        <color theme="9" tint="0.39997558519241921"/>
      </right>
      <top/>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xf numFmtId="0" fontId="1" fillId="2" borderId="6"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xf numFmtId="0" fontId="1" fillId="0" borderId="6" xfId="0" applyFont="1" applyBorder="1" applyAlignment="1">
      <alignment horizontal="center" vertical="center"/>
    </xf>
    <xf numFmtId="0" fontId="2" fillId="0" borderId="0" xfId="0" applyFont="1"/>
    <xf numFmtId="0" fontId="2" fillId="2" borderId="7" xfId="0" applyFont="1" applyFill="1" applyBorder="1"/>
    <xf numFmtId="0" fontId="2" fillId="0" borderId="0" xfId="0" applyFont="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2" xfId="0" applyFont="1" applyFill="1" applyBorder="1"/>
    <xf numFmtId="0" fontId="2" fillId="2" borderId="6"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5" xfId="0" applyFont="1" applyFill="1" applyBorder="1"/>
    <xf numFmtId="0" fontId="1" fillId="0" borderId="5" xfId="0" applyFont="1" applyBorder="1"/>
    <xf numFmtId="0" fontId="2" fillId="0" borderId="5" xfId="0" applyFont="1" applyBorder="1"/>
    <xf numFmtId="0" fontId="2" fillId="0" borderId="0" xfId="0" applyFon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0" fontId="2" fillId="0" borderId="8" xfId="0" applyFont="1" applyBorder="1" applyAlignment="1">
      <alignment horizontal="center" vertical="center"/>
    </xf>
    <xf numFmtId="0" fontId="2" fillId="0" borderId="7" xfId="0" applyFont="1" applyBorder="1"/>
    <xf numFmtId="0" fontId="2" fillId="0" borderId="9" xfId="0" applyFont="1" applyBorder="1" applyAlignment="1">
      <alignment horizontal="center" vertical="center"/>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7" xfId="0" applyFont="1" applyFill="1" applyBorder="1"/>
    <xf numFmtId="0" fontId="1" fillId="2" borderId="9" xfId="0" applyFont="1" applyFill="1" applyBorder="1" applyAlignment="1">
      <alignment horizontal="center" vertical="center"/>
    </xf>
    <xf numFmtId="9" fontId="0" fillId="0" borderId="0" xfId="0" applyNumberFormat="1"/>
    <xf numFmtId="9" fontId="3" fillId="0" borderId="0" xfId="0" applyNumberFormat="1" applyFont="1" applyAlignment="1">
      <alignment horizontal="center"/>
    </xf>
    <xf numFmtId="9" fontId="2" fillId="0" borderId="0" xfId="0" applyNumberFormat="1" applyFont="1" applyAlignment="1">
      <alignment horizontal="center"/>
    </xf>
  </cellXfs>
  <cellStyles count="1">
    <cellStyle name="Normal" xfId="0" builtinId="0"/>
  </cellStyles>
  <dxfs count="48">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10</xdr:col>
      <xdr:colOff>257175</xdr:colOff>
      <xdr:row>1</xdr:row>
      <xdr:rowOff>0</xdr:rowOff>
    </xdr:from>
    <xdr:to>
      <xdr:col>13</xdr:col>
      <xdr:colOff>257175</xdr:colOff>
      <xdr:row>13</xdr:row>
      <xdr:rowOff>123825</xdr:rowOff>
    </xdr:to>
    <mc:AlternateContent xmlns:mc="http://schemas.openxmlformats.org/markup-compatibility/2006">
      <mc:Choice xmlns:sle15="http://schemas.microsoft.com/office/drawing/2012/slicer" Requires="sle15">
        <xdr:graphicFrame macro="">
          <xdr:nvGraphicFramePr>
            <xdr:cNvPr id="3" name="STATUS">
              <a:extLst>
                <a:ext uri="{FF2B5EF4-FFF2-40B4-BE49-F238E27FC236}">
                  <a16:creationId xmlns:a16="http://schemas.microsoft.com/office/drawing/2014/main" id="{01AD9F69-441E-9B0E-E5C6-B7E2AE3C8E7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353925" y="2000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495300</xdr:colOff>
      <xdr:row>2</xdr:row>
      <xdr:rowOff>0</xdr:rowOff>
    </xdr:from>
    <xdr:to>
      <xdr:col>12</xdr:col>
      <xdr:colOff>495300</xdr:colOff>
      <xdr:row>14</xdr:row>
      <xdr:rowOff>123825</xdr:rowOff>
    </xdr:to>
    <mc:AlternateContent xmlns:mc="http://schemas.openxmlformats.org/markup-compatibility/2006">
      <mc:Choice xmlns:sle15="http://schemas.microsoft.com/office/drawing/2012/slicer" Requires="sle15">
        <xdr:graphicFrame macro="">
          <xdr:nvGraphicFramePr>
            <xdr:cNvPr id="2" name="STATUS 1">
              <a:extLst>
                <a:ext uri="{FF2B5EF4-FFF2-40B4-BE49-F238E27FC236}">
                  <a16:creationId xmlns:a16="http://schemas.microsoft.com/office/drawing/2014/main" id="{622F098D-363C-ED74-9AD6-95152351810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982450" y="40005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9</xdr:col>
      <xdr:colOff>476250</xdr:colOff>
      <xdr:row>1</xdr:row>
      <xdr:rowOff>190500</xdr:rowOff>
    </xdr:from>
    <xdr:to>
      <xdr:col>12</xdr:col>
      <xdr:colOff>476250</xdr:colOff>
      <xdr:row>14</xdr:row>
      <xdr:rowOff>114300</xdr:rowOff>
    </xdr:to>
    <mc:AlternateContent xmlns:mc="http://schemas.openxmlformats.org/markup-compatibility/2006">
      <mc:Choice xmlns:sle15="http://schemas.microsoft.com/office/drawing/2012/slicer" Requires="sle15">
        <xdr:graphicFrame macro="">
          <xdr:nvGraphicFramePr>
            <xdr:cNvPr id="2" name="STATUS 2">
              <a:extLst>
                <a:ext uri="{FF2B5EF4-FFF2-40B4-BE49-F238E27FC236}">
                  <a16:creationId xmlns:a16="http://schemas.microsoft.com/office/drawing/2014/main" id="{8E06D1D4-543F-BD39-1474-208051942119}"/>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1963400" y="3905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276225</xdr:colOff>
      <xdr:row>3</xdr:row>
      <xdr:rowOff>114300</xdr:rowOff>
    </xdr:from>
    <xdr:to>
      <xdr:col>14</xdr:col>
      <xdr:colOff>276225</xdr:colOff>
      <xdr:row>16</xdr:row>
      <xdr:rowOff>38100</xdr:rowOff>
    </xdr:to>
    <mc:AlternateContent xmlns:mc="http://schemas.openxmlformats.org/markup-compatibility/2006">
      <mc:Choice xmlns:sle15="http://schemas.microsoft.com/office/drawing/2012/slicer" Requires="sle15">
        <xdr:graphicFrame macro="">
          <xdr:nvGraphicFramePr>
            <xdr:cNvPr id="2" name="STATUS 3">
              <a:extLst>
                <a:ext uri="{FF2B5EF4-FFF2-40B4-BE49-F238E27FC236}">
                  <a16:creationId xmlns:a16="http://schemas.microsoft.com/office/drawing/2014/main" id="{20B2545E-EC38-12D4-5FD0-67FE405D6BD5}"/>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12982575" y="71437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38100</xdr:colOff>
      <xdr:row>2</xdr:row>
      <xdr:rowOff>114300</xdr:rowOff>
    </xdr:from>
    <xdr:to>
      <xdr:col>13</xdr:col>
      <xdr:colOff>38100</xdr:colOff>
      <xdr:row>15</xdr:row>
      <xdr:rowOff>38100</xdr:rowOff>
    </xdr:to>
    <mc:AlternateContent xmlns:mc="http://schemas.openxmlformats.org/markup-compatibility/2006">
      <mc:Choice xmlns:sle15="http://schemas.microsoft.com/office/drawing/2012/slicer" Requires="sle15">
        <xdr:graphicFrame macro="">
          <xdr:nvGraphicFramePr>
            <xdr:cNvPr id="2" name="STATUS 4">
              <a:extLst>
                <a:ext uri="{FF2B5EF4-FFF2-40B4-BE49-F238E27FC236}">
                  <a16:creationId xmlns:a16="http://schemas.microsoft.com/office/drawing/2014/main" id="{45E6CC72-C5CF-997E-164F-A519E04454D8}"/>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dr:sp macro="" textlink="">
          <xdr:nvSpPr>
            <xdr:cNvPr id="0" name=""/>
            <xdr:cNvSpPr>
              <a:spLocks noTextEdit="1"/>
            </xdr:cNvSpPr>
          </xdr:nvSpPr>
          <xdr:spPr>
            <a:xfrm>
              <a:off x="12134850" y="51435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1" xr10:uid="{5D4DCB79-6C18-4A97-8A97-D16B5563A139}" sourceName="DAFTAR CUTI">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2" xr10:uid="{C9679755-3F75-4A63-B835-789815663453}" sourceName="DAFTAR CUTI">
  <extLst>
    <x:ext xmlns:x15="http://schemas.microsoft.com/office/spreadsheetml/2010/11/main" uri="{2F2917AC-EB37-4324-AD4E-5DD8C200BD13}">
      <x15:tableSlicerCache tableId="3"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3" xr10:uid="{E11D2013-A66A-4723-9E3C-2F84C92147DF}" sourceName="DAFTAR CUTI">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4" xr10:uid="{C7844CB6-BC3F-4371-A75B-E1F847EA383B}" sourceName="DAFTAR CUTI">
  <extLst>
    <x:ext xmlns:x15="http://schemas.microsoft.com/office/spreadsheetml/2010/11/main" uri="{2F2917AC-EB37-4324-AD4E-5DD8C200BD13}">
      <x15:tableSlicerCache tableId="5"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 xr10:uid="{9DCB0CB5-6F32-4CEE-A000-A2BCCE929DAC}" sourceName="DAFTAR CUTI">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0C2FD78-E169-49C0-B366-174F667DC139}" cache="Pemotong_STATUS" caption="DAFTAR CUT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021153CF-5C80-4718-9E08-61C8F575B9E3}" cache="Pemotong_STATUS1" caption="DAFTAR CUTI"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560900ED-B26F-40BC-B81A-B44B0CC0FE11}" cache="Pemotong_STATUS2" caption="DAFTAR CUTI"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AA3B649E-8089-43BB-B6F5-63FA4A30BB65}" cache="Pemotong_STATUS3" caption="DAFTAR CUTI"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4" xr10:uid="{7672DDFE-1EED-41E0-BC8F-A09CBC2B7D98}" cache="Pemotong_STATUS4" caption="DAFTAR CUT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CCD277-F9AD-4193-B2BD-26F9A815FBF3}" name="Tabel1" displayName="Tabel1" ref="B2:H373" totalsRowShown="0" headerRowDxfId="22" dataDxfId="21" tableBorderDxfId="20">
  <autoFilter ref="B2:H373" xr:uid="{5BCCD277-F9AD-4193-B2BD-26F9A815FBF3}"/>
  <tableColumns count="7">
    <tableColumn id="1" xr3:uid="{1E999F4B-59E2-40B4-A6C7-9A77B054092E}" name="NO." dataDxfId="19"/>
    <tableColumn id="2" xr3:uid="{4F11008F-4F1E-4C13-BDF0-21CF0A2CC36C}" name="N I M" dataDxfId="18"/>
    <tableColumn id="3" xr3:uid="{226A492B-7E41-4E6D-A3CC-B8A22CDB7C2D}" name="NAMA MAHASISWA" dataDxfId="17"/>
    <tableColumn id="4" xr3:uid="{6FFB7759-A9FF-4D9C-A80D-1A41ED17EAA2}" name="DAFTAR CUTI" dataDxfId="16"/>
    <tableColumn id="5" xr3:uid="{DC62070B-A131-4680-8143-5514FD114C86}" name="SKS KUMULATIF" dataDxfId="15"/>
    <tableColumn id="6" xr3:uid="{81027028-E356-4828-816E-8D77309B2B60}" name="I P K" dataDxfId="14"/>
    <tableColumn id="7" xr3:uid="{9E5F6F88-6BEC-4D33-A7B4-66F80A464F76}" name="KEHADIRAN" dataDxfId="13">
      <calculatedColumnFormula>Tabel1[[#This Row],[KEHADIRAN]]/100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18124-1678-4E4A-B58A-6E4E6ED2198F}" name="Tabel2" displayName="Tabel2" ref="B2:H280" totalsRowShown="0" headerRowDxfId="47" dataDxfId="46" tableBorderDxfId="45">
  <autoFilter ref="B2:H280" xr:uid="{B7618124-1678-4E4A-B58A-6E4E6ED2198F}"/>
  <tableColumns count="7">
    <tableColumn id="1" xr3:uid="{8BD9016C-59F3-4BBA-8FF7-643C79ECD04D}" name="NO." dataDxfId="44"/>
    <tableColumn id="2" xr3:uid="{62BB5CF8-F2AA-4B28-AB46-5A8F1873BDA5}" name="N I M" dataDxfId="43"/>
    <tableColumn id="3" xr3:uid="{5E37AF1B-798D-4C2B-B69C-6206FA9A1FC0}" name="NAMA MAHASISWA" dataDxfId="42"/>
    <tableColumn id="4" xr3:uid="{55B9FF56-5C9C-4E8A-9D82-C784224094FE}" name="DAFTAR CUTI" dataDxfId="41"/>
    <tableColumn id="5" xr3:uid="{C44C4BFF-32A3-48C6-A065-DE3FF4160BAD}" name="SKS KUMULATIF" dataDxfId="40"/>
    <tableColumn id="6" xr3:uid="{B40D9815-B2DE-4531-BEBA-7E9FD49E88D7}" name="I P K" dataDxfId="39"/>
    <tableColumn id="7" xr3:uid="{1B9DEABE-F01A-4096-8F2F-FE3E374F2CF1}" name="KEHADIRAN" dataDxfId="12">
      <calculatedColumnFormula>Tabel2[[#This Row],[KEHADIRAN]]/100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DA3178-A0B9-42B1-9CF4-086E8E112A27}" name="Tabel3" displayName="Tabel3" ref="B2:H242" totalsRowShown="0" headerRowDxfId="38" dataDxfId="37">
  <autoFilter ref="B2:H242" xr:uid="{4ADA3178-A0B9-42B1-9CF4-086E8E112A27}"/>
  <tableColumns count="7">
    <tableColumn id="1" xr3:uid="{4CFA0D77-0BE0-46E0-9450-714D7B7FD693}" name="NO." dataDxfId="36"/>
    <tableColumn id="2" xr3:uid="{9B6A0DA1-1866-4AA4-8CF4-4F576179267D}" name="N I M" dataDxfId="35"/>
    <tableColumn id="3" xr3:uid="{1DEB63A6-7B93-49E5-8BC8-F02A8CF5BFCE}" name="NAMA MAHASISWA" dataDxfId="34"/>
    <tableColumn id="4" xr3:uid="{6AB55654-7F49-46C0-9FCD-A31A6F98347E}" name="DAFTAR CUTI" dataDxfId="33"/>
    <tableColumn id="5" xr3:uid="{549BA207-D196-46E2-850C-A73EF9684AEA}" name="SKS KUMULATIF" dataDxfId="32"/>
    <tableColumn id="6" xr3:uid="{59D07A74-A3BC-41E1-BE95-C8402E989700}" name="I P K" dataDxfId="31"/>
    <tableColumn id="7" xr3:uid="{5B7815F3-EC97-493E-B47D-18FBF72FD208}" name="KEHADIRAN" dataDxfId="11">
      <calculatedColumnFormula>Tabel3[[#This Row],[KEHADIRAN]]/100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2930F9-6F4E-4CCA-B9DD-D08B594B5DD3}" name="Tabel4" displayName="Tabel4" ref="B2:H143" totalsRowShown="0" headerRowDxfId="30" dataDxfId="29">
  <autoFilter ref="B2:H143" xr:uid="{CA2930F9-6F4E-4CCA-B9DD-D08B594B5DD3}"/>
  <tableColumns count="7">
    <tableColumn id="1" xr3:uid="{CAE00C49-1C59-4183-AD54-6FFF8D0B9443}" name="NO." dataDxfId="28"/>
    <tableColumn id="2" xr3:uid="{BBDBFC29-C99A-48CD-B939-6070FF93576D}" name="N I M" dataDxfId="27"/>
    <tableColumn id="3" xr3:uid="{6F66D6EB-E4F9-4ABB-BC45-E8604B92EDF5}" name="NAMA MAHASISWA" dataDxfId="26"/>
    <tableColumn id="4" xr3:uid="{AF815B5A-634C-453C-8B7F-219C8987B280}" name="DAFTAR CUTI" dataDxfId="25"/>
    <tableColumn id="5" xr3:uid="{07ACEF0A-4E37-4D06-8474-845183EE422F}" name="SKS KUMULATIF" dataDxfId="24"/>
    <tableColumn id="6" xr3:uid="{82529224-9096-4D86-B1A7-D65D712C40F8}" name="I P K" dataDxfId="23"/>
    <tableColumn id="7" xr3:uid="{75AFC174-AA3E-42A7-89A5-4456AA5A1864}" name="KEHADIRAN" dataDxfId="10">
      <calculatedColumnFormula>Tabel4[[#This Row],[KEHADIRAN]]/100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291DAD-7F25-4D27-A0D6-1930B5971346}" name="Tabel5" displayName="Tabel5" ref="B2:H26" totalsRowShown="0" headerRowDxfId="9" dataDxfId="8" tableBorderDxfId="7">
  <autoFilter ref="B2:H26" xr:uid="{EF291DAD-7F25-4D27-A0D6-1930B5971346}"/>
  <tableColumns count="7">
    <tableColumn id="1" xr3:uid="{5A14C0C8-1F81-4428-9EF0-21BE32A9DEEF}" name="NO." dataDxfId="6"/>
    <tableColumn id="2" xr3:uid="{0B81A090-7013-4645-BA6B-629A1C155F27}" name="N I M" dataDxfId="5"/>
    <tableColumn id="3" xr3:uid="{5DB3B94E-2592-4008-9CC0-E20416A9C710}" name="NAMA MAHASISWA" dataDxfId="4"/>
    <tableColumn id="4" xr3:uid="{175294C2-9D3D-48DF-AC0B-43497A0401E5}" name="DAFTAR CUTI" dataDxfId="3"/>
    <tableColumn id="5" xr3:uid="{2203CD46-10A2-4BD1-BC1B-BA6E8EFD2D58}" name="SKS KUMULATIF" dataDxfId="2"/>
    <tableColumn id="6" xr3:uid="{BA17AF68-983B-4E31-89F7-CEF331C66D88}" name="I P K" dataDxfId="1"/>
    <tableColumn id="7" xr3:uid="{4200AE96-7AFB-406A-AC56-D29A93BFA34F}" name="KEHADIRAN" dataDxfId="0">
      <calculatedColumnFormula>Tabel5[[#This Row],[KEHADIRAN]]/100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30E7-9DA4-4583-96C9-1B9C5E13FE5E}">
  <dimension ref="B1:H482"/>
  <sheetViews>
    <sheetView workbookViewId="0">
      <selection activeCell="H18" sqref="H18"/>
    </sheetView>
  </sheetViews>
  <sheetFormatPr defaultRowHeight="15.75" x14ac:dyDescent="0.25"/>
  <cols>
    <col min="2" max="2" width="14.28515625" style="27"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38" bestFit="1" customWidth="1"/>
  </cols>
  <sheetData>
    <row r="1" spans="2:8" x14ac:dyDescent="0.25">
      <c r="D1" s="11"/>
    </row>
    <row r="2" spans="2:8" x14ac:dyDescent="0.25">
      <c r="B2" s="30" t="s">
        <v>0</v>
      </c>
      <c r="C2" s="29" t="s">
        <v>1</v>
      </c>
      <c r="D2" s="29" t="s">
        <v>2</v>
      </c>
      <c r="E2" s="30" t="s">
        <v>1184</v>
      </c>
      <c r="F2" s="30" t="s">
        <v>3</v>
      </c>
      <c r="G2" s="30" t="s">
        <v>4</v>
      </c>
      <c r="H2" s="39" t="s">
        <v>1183</v>
      </c>
    </row>
    <row r="3" spans="2:8" x14ac:dyDescent="0.25">
      <c r="B3" s="27">
        <v>1</v>
      </c>
      <c r="C3" s="27" t="s">
        <v>421</v>
      </c>
      <c r="D3" s="27" t="s">
        <v>422</v>
      </c>
      <c r="E3" s="27" t="s">
        <v>25</v>
      </c>
      <c r="F3" s="27" t="s">
        <v>51</v>
      </c>
      <c r="G3" s="27" t="s">
        <v>85</v>
      </c>
      <c r="H3" s="40">
        <f ca="1">Tabel1[[#This Row],[KEHADIRAN]]/100</f>
        <v>0.97</v>
      </c>
    </row>
    <row r="4" spans="2:8" x14ac:dyDescent="0.25">
      <c r="B4" s="27">
        <v>2</v>
      </c>
      <c r="C4" s="27" t="s">
        <v>423</v>
      </c>
      <c r="D4" s="27" t="s">
        <v>424</v>
      </c>
      <c r="E4" s="27" t="s">
        <v>19</v>
      </c>
      <c r="F4" s="27" t="s">
        <v>69</v>
      </c>
      <c r="G4" s="27" t="s">
        <v>425</v>
      </c>
      <c r="H4" s="40">
        <f ca="1">Tabel1[[#This Row],[KEHADIRAN]]/100</f>
        <v>0</v>
      </c>
    </row>
    <row r="5" spans="2:8" x14ac:dyDescent="0.25">
      <c r="B5" s="27">
        <v>3</v>
      </c>
      <c r="C5" s="27" t="s">
        <v>426</v>
      </c>
      <c r="D5" s="27" t="s">
        <v>427</v>
      </c>
      <c r="E5" s="27" t="s">
        <v>25</v>
      </c>
      <c r="F5" s="27" t="s">
        <v>26</v>
      </c>
      <c r="G5" s="27" t="s">
        <v>174</v>
      </c>
      <c r="H5" s="40">
        <f ca="1">Tabel1[[#This Row],[KEHADIRAN]]/100</f>
        <v>0.86</v>
      </c>
    </row>
    <row r="6" spans="2:8" x14ac:dyDescent="0.25">
      <c r="B6" s="27">
        <v>4</v>
      </c>
      <c r="C6" s="27" t="s">
        <v>428</v>
      </c>
      <c r="D6" s="27" t="s">
        <v>429</v>
      </c>
      <c r="E6" s="27" t="s">
        <v>25</v>
      </c>
      <c r="F6" s="27" t="s">
        <v>26</v>
      </c>
      <c r="G6" s="27" t="s">
        <v>220</v>
      </c>
      <c r="H6" s="40">
        <f ca="1">Tabel1[[#This Row],[KEHADIRAN]]/100</f>
        <v>0.87</v>
      </c>
    </row>
    <row r="7" spans="2:8" x14ac:dyDescent="0.25">
      <c r="B7" s="27">
        <v>5</v>
      </c>
      <c r="C7" s="27" t="s">
        <v>430</v>
      </c>
      <c r="D7" s="27" t="s">
        <v>431</v>
      </c>
      <c r="E7" s="27" t="s">
        <v>25</v>
      </c>
      <c r="F7" s="27" t="s">
        <v>39</v>
      </c>
      <c r="G7" s="27" t="s">
        <v>71</v>
      </c>
      <c r="H7" s="40">
        <f ca="1">Tabel1[[#This Row],[KEHADIRAN]]/100</f>
        <v>0.84</v>
      </c>
    </row>
    <row r="8" spans="2:8" x14ac:dyDescent="0.25">
      <c r="B8" s="27">
        <v>6</v>
      </c>
      <c r="C8" s="27" t="s">
        <v>432</v>
      </c>
      <c r="D8" s="27" t="s">
        <v>433</v>
      </c>
      <c r="E8" s="27" t="s">
        <v>25</v>
      </c>
      <c r="F8" s="27" t="s">
        <v>94</v>
      </c>
      <c r="G8" s="27" t="s">
        <v>213</v>
      </c>
      <c r="H8" s="40">
        <f ca="1">Tabel1[[#This Row],[KEHADIRAN]]/100</f>
        <v>0.93</v>
      </c>
    </row>
    <row r="9" spans="2:8" x14ac:dyDescent="0.25">
      <c r="B9" s="27">
        <v>7</v>
      </c>
      <c r="C9" s="27" t="s">
        <v>434</v>
      </c>
      <c r="D9" s="27" t="s">
        <v>435</v>
      </c>
      <c r="E9" s="27" t="s">
        <v>6</v>
      </c>
      <c r="F9" s="27" t="s">
        <v>33</v>
      </c>
      <c r="G9" s="27" t="s">
        <v>436</v>
      </c>
      <c r="H9" s="40">
        <f ca="1">Tabel1[[#This Row],[KEHADIRAN]]/100</f>
        <v>0</v>
      </c>
    </row>
    <row r="10" spans="2:8" x14ac:dyDescent="0.25">
      <c r="B10" s="27">
        <v>8</v>
      </c>
      <c r="C10" s="27" t="s">
        <v>437</v>
      </c>
      <c r="D10" s="27" t="s">
        <v>438</v>
      </c>
      <c r="E10" s="27" t="s">
        <v>6</v>
      </c>
      <c r="F10" s="27" t="s">
        <v>166</v>
      </c>
      <c r="G10" s="27" t="s">
        <v>439</v>
      </c>
      <c r="H10" s="40">
        <f ca="1">Tabel1[[#This Row],[KEHADIRAN]]/100</f>
        <v>0</v>
      </c>
    </row>
    <row r="11" spans="2:8" x14ac:dyDescent="0.25">
      <c r="B11" s="27">
        <v>9</v>
      </c>
      <c r="C11" s="27" t="s">
        <v>440</v>
      </c>
      <c r="D11" s="27" t="s">
        <v>441</v>
      </c>
      <c r="E11" s="27" t="s">
        <v>25</v>
      </c>
      <c r="F11" s="27" t="s">
        <v>94</v>
      </c>
      <c r="G11" s="27" t="s">
        <v>127</v>
      </c>
      <c r="H11" s="40">
        <f ca="1">Tabel1[[#This Row],[KEHADIRAN]]/100</f>
        <v>0.81</v>
      </c>
    </row>
    <row r="12" spans="2:8" x14ac:dyDescent="0.25">
      <c r="B12" s="27">
        <v>10</v>
      </c>
      <c r="C12" s="27" t="s">
        <v>442</v>
      </c>
      <c r="D12" s="27" t="s">
        <v>443</v>
      </c>
      <c r="E12" s="27" t="s">
        <v>31</v>
      </c>
      <c r="F12" s="27" t="s">
        <v>26</v>
      </c>
      <c r="G12" s="27" t="s">
        <v>137</v>
      </c>
      <c r="H12" s="40">
        <f ca="1">Tabel1[[#This Row],[KEHADIRAN]]/100</f>
        <v>0.89</v>
      </c>
    </row>
    <row r="13" spans="2:8" x14ac:dyDescent="0.25">
      <c r="B13" s="27">
        <v>11</v>
      </c>
      <c r="C13" s="27" t="s">
        <v>444</v>
      </c>
      <c r="D13" s="27" t="s">
        <v>445</v>
      </c>
      <c r="E13" s="27" t="s">
        <v>6</v>
      </c>
      <c r="F13" s="27" t="s">
        <v>41</v>
      </c>
      <c r="G13" s="27" t="s">
        <v>446</v>
      </c>
      <c r="H13" s="40">
        <f ca="1">Tabel1[[#This Row],[KEHADIRAN]]/100</f>
        <v>0</v>
      </c>
    </row>
    <row r="14" spans="2:8" x14ac:dyDescent="0.25">
      <c r="B14" s="27">
        <v>12</v>
      </c>
      <c r="C14" s="27" t="s">
        <v>447</v>
      </c>
      <c r="D14" s="27" t="s">
        <v>448</v>
      </c>
      <c r="E14" s="27" t="s">
        <v>25</v>
      </c>
      <c r="F14" s="27" t="s">
        <v>51</v>
      </c>
      <c r="G14" s="27" t="s">
        <v>122</v>
      </c>
      <c r="H14" s="40">
        <f ca="1">Tabel1[[#This Row],[KEHADIRAN]]/100</f>
        <v>0.82</v>
      </c>
    </row>
    <row r="15" spans="2:8" x14ac:dyDescent="0.25">
      <c r="B15" s="27">
        <v>13</v>
      </c>
      <c r="C15" s="27" t="s">
        <v>449</v>
      </c>
      <c r="D15" s="27" t="s">
        <v>450</v>
      </c>
      <c r="E15" s="27" t="s">
        <v>25</v>
      </c>
      <c r="F15" s="27" t="s">
        <v>26</v>
      </c>
      <c r="G15" s="27" t="s">
        <v>124</v>
      </c>
      <c r="H15" s="40">
        <f ca="1">Tabel1[[#This Row],[KEHADIRAN]]/100</f>
        <v>0.9</v>
      </c>
    </row>
    <row r="16" spans="2:8" x14ac:dyDescent="0.25">
      <c r="B16" s="27">
        <v>14</v>
      </c>
      <c r="C16" s="27" t="s">
        <v>451</v>
      </c>
      <c r="D16" s="27" t="s">
        <v>452</v>
      </c>
      <c r="E16" s="27" t="s">
        <v>25</v>
      </c>
      <c r="F16" s="27" t="s">
        <v>26</v>
      </c>
      <c r="G16" s="27" t="s">
        <v>405</v>
      </c>
      <c r="H16" s="40">
        <f ca="1">Tabel1[[#This Row],[KEHADIRAN]]/100</f>
        <v>0.98</v>
      </c>
    </row>
    <row r="17" spans="2:8" x14ac:dyDescent="0.25">
      <c r="B17" s="27">
        <v>15</v>
      </c>
      <c r="C17" s="27" t="s">
        <v>453</v>
      </c>
      <c r="D17" s="27" t="s">
        <v>454</v>
      </c>
      <c r="E17" s="27" t="s">
        <v>25</v>
      </c>
      <c r="F17" s="27" t="s">
        <v>51</v>
      </c>
      <c r="G17" s="27" t="s">
        <v>229</v>
      </c>
      <c r="H17" s="40">
        <f ca="1">Tabel1[[#This Row],[KEHADIRAN]]/100</f>
        <v>0.98</v>
      </c>
    </row>
    <row r="18" spans="2:8" x14ac:dyDescent="0.25">
      <c r="B18" s="27">
        <v>16</v>
      </c>
      <c r="C18" s="27" t="s">
        <v>455</v>
      </c>
      <c r="D18" s="27" t="s">
        <v>456</v>
      </c>
      <c r="E18" s="27" t="s">
        <v>25</v>
      </c>
      <c r="F18" s="27" t="s">
        <v>26</v>
      </c>
      <c r="G18" s="27" t="s">
        <v>280</v>
      </c>
      <c r="H18" s="40">
        <f ca="1">Tabel1[[#This Row],[KEHADIRAN]]/100</f>
        <v>0.97</v>
      </c>
    </row>
    <row r="19" spans="2:8" x14ac:dyDescent="0.25">
      <c r="B19" s="27">
        <v>17</v>
      </c>
      <c r="C19" s="27" t="s">
        <v>457</v>
      </c>
      <c r="D19" s="27" t="s">
        <v>458</v>
      </c>
      <c r="E19" s="27" t="s">
        <v>6</v>
      </c>
      <c r="F19" s="27" t="s">
        <v>166</v>
      </c>
      <c r="G19" s="27" t="s">
        <v>459</v>
      </c>
      <c r="H19" s="40">
        <f ca="1">Tabel1[[#This Row],[KEHADIRAN]]/100</f>
        <v>0</v>
      </c>
    </row>
    <row r="20" spans="2:8" x14ac:dyDescent="0.25">
      <c r="B20" s="27">
        <v>18</v>
      </c>
      <c r="C20" s="27" t="s">
        <v>460</v>
      </c>
      <c r="D20" s="27" t="s">
        <v>461</v>
      </c>
      <c r="E20" s="27" t="s">
        <v>6</v>
      </c>
      <c r="F20" s="27" t="s">
        <v>166</v>
      </c>
      <c r="G20" s="27" t="s">
        <v>277</v>
      </c>
      <c r="H20" s="40">
        <f ca="1">Tabel1[[#This Row],[KEHADIRAN]]/100</f>
        <v>0</v>
      </c>
    </row>
    <row r="21" spans="2:8" x14ac:dyDescent="0.25">
      <c r="B21" s="27">
        <v>19</v>
      </c>
      <c r="C21" s="27" t="s">
        <v>462</v>
      </c>
      <c r="D21" s="27" t="s">
        <v>408</v>
      </c>
      <c r="E21" s="27" t="s">
        <v>31</v>
      </c>
      <c r="F21" s="27" t="s">
        <v>94</v>
      </c>
      <c r="G21" s="27" t="s">
        <v>71</v>
      </c>
      <c r="H21" s="40">
        <f ca="1">Tabel1[[#This Row],[KEHADIRAN]]/100</f>
        <v>0.98</v>
      </c>
    </row>
    <row r="22" spans="2:8" x14ac:dyDescent="0.25">
      <c r="B22" s="27">
        <v>20</v>
      </c>
      <c r="C22" s="27" t="s">
        <v>463</v>
      </c>
      <c r="D22" s="27" t="s">
        <v>464</v>
      </c>
      <c r="E22" s="27" t="s">
        <v>31</v>
      </c>
      <c r="F22" s="27" t="s">
        <v>39</v>
      </c>
      <c r="G22" s="27" t="s">
        <v>241</v>
      </c>
      <c r="H22" s="40">
        <f ca="1">Tabel1[[#This Row],[KEHADIRAN]]/100</f>
        <v>0.96</v>
      </c>
    </row>
    <row r="23" spans="2:8" x14ac:dyDescent="0.25">
      <c r="B23" s="27">
        <v>21</v>
      </c>
      <c r="C23" s="27" t="s">
        <v>465</v>
      </c>
      <c r="D23" s="27" t="s">
        <v>466</v>
      </c>
      <c r="E23" s="27" t="s">
        <v>31</v>
      </c>
      <c r="F23" s="27" t="s">
        <v>214</v>
      </c>
      <c r="G23" s="27" t="s">
        <v>409</v>
      </c>
      <c r="H23" s="40">
        <f ca="1">Tabel1[[#This Row],[KEHADIRAN]]/100</f>
        <v>0.89</v>
      </c>
    </row>
    <row r="24" spans="2:8" x14ac:dyDescent="0.25">
      <c r="B24" s="27">
        <v>22</v>
      </c>
      <c r="C24" s="27" t="s">
        <v>467</v>
      </c>
      <c r="D24" s="27" t="s">
        <v>468</v>
      </c>
      <c r="E24" s="27" t="s">
        <v>31</v>
      </c>
      <c r="F24" s="27" t="s">
        <v>77</v>
      </c>
      <c r="G24" s="27" t="s">
        <v>154</v>
      </c>
      <c r="H24" s="40">
        <f ca="1">Tabel1[[#This Row],[KEHADIRAN]]/100</f>
        <v>0.95</v>
      </c>
    </row>
    <row r="25" spans="2:8" x14ac:dyDescent="0.25">
      <c r="B25" s="27">
        <v>23</v>
      </c>
      <c r="C25" s="27" t="s">
        <v>469</v>
      </c>
      <c r="D25" s="27" t="s">
        <v>470</v>
      </c>
      <c r="E25" s="27" t="s">
        <v>25</v>
      </c>
      <c r="F25" s="27" t="s">
        <v>51</v>
      </c>
      <c r="G25" s="27" t="s">
        <v>143</v>
      </c>
      <c r="H25" s="40">
        <f ca="1">Tabel1[[#This Row],[KEHADIRAN]]/100</f>
        <v>0.93</v>
      </c>
    </row>
    <row r="26" spans="2:8" x14ac:dyDescent="0.25">
      <c r="B26" s="27">
        <v>24</v>
      </c>
      <c r="C26" s="27" t="s">
        <v>471</v>
      </c>
      <c r="D26" s="27" t="s">
        <v>413</v>
      </c>
      <c r="E26" s="27" t="s">
        <v>31</v>
      </c>
      <c r="F26" s="27" t="s">
        <v>94</v>
      </c>
      <c r="G26" s="27" t="s">
        <v>213</v>
      </c>
      <c r="H26" s="40">
        <f ca="1">Tabel1[[#This Row],[KEHADIRAN]]/100</f>
        <v>0.89</v>
      </c>
    </row>
    <row r="27" spans="2:8" x14ac:dyDescent="0.25">
      <c r="B27" s="27">
        <v>25</v>
      </c>
      <c r="C27" s="27" t="s">
        <v>472</v>
      </c>
      <c r="D27" s="27" t="s">
        <v>473</v>
      </c>
      <c r="E27" s="27" t="s">
        <v>31</v>
      </c>
      <c r="F27" s="27" t="s">
        <v>51</v>
      </c>
      <c r="G27" s="27" t="s">
        <v>323</v>
      </c>
      <c r="H27" s="40">
        <f ca="1">Tabel1[[#This Row],[KEHADIRAN]]/100</f>
        <v>0.99</v>
      </c>
    </row>
    <row r="28" spans="2:8" x14ac:dyDescent="0.25">
      <c r="B28" s="27">
        <v>26</v>
      </c>
      <c r="C28" s="27" t="s">
        <v>474</v>
      </c>
      <c r="D28" s="27" t="s">
        <v>475</v>
      </c>
      <c r="E28" s="27" t="s">
        <v>31</v>
      </c>
      <c r="F28" s="27" t="s">
        <v>51</v>
      </c>
      <c r="G28" s="27" t="s">
        <v>476</v>
      </c>
      <c r="H28" s="40">
        <f ca="1">Tabel1[[#This Row],[KEHADIRAN]]/100</f>
        <v>0.93</v>
      </c>
    </row>
    <row r="29" spans="2:8" x14ac:dyDescent="0.25">
      <c r="B29" s="27">
        <v>27</v>
      </c>
      <c r="C29" s="27" t="s">
        <v>477</v>
      </c>
      <c r="D29" s="27" t="s">
        <v>478</v>
      </c>
      <c r="E29" s="27" t="s">
        <v>25</v>
      </c>
      <c r="F29" s="27" t="s">
        <v>94</v>
      </c>
      <c r="G29" s="27" t="s">
        <v>298</v>
      </c>
      <c r="H29" s="40">
        <f ca="1">Tabel1[[#This Row],[KEHADIRAN]]/100</f>
        <v>0.89</v>
      </c>
    </row>
    <row r="30" spans="2:8" x14ac:dyDescent="0.25">
      <c r="B30" s="27">
        <v>28</v>
      </c>
      <c r="C30" s="27" t="s">
        <v>479</v>
      </c>
      <c r="D30" s="27" t="s">
        <v>480</v>
      </c>
      <c r="E30" s="27" t="s">
        <v>6</v>
      </c>
      <c r="F30" s="27" t="s">
        <v>78</v>
      </c>
      <c r="G30" s="27" t="s">
        <v>481</v>
      </c>
      <c r="H30" s="40">
        <f ca="1">Tabel1[[#This Row],[KEHADIRAN]]/100</f>
        <v>0</v>
      </c>
    </row>
    <row r="31" spans="2:8" x14ac:dyDescent="0.25">
      <c r="B31" s="27">
        <v>29</v>
      </c>
      <c r="C31" s="27" t="s">
        <v>482</v>
      </c>
      <c r="D31" s="27" t="s">
        <v>483</v>
      </c>
      <c r="E31" s="27" t="s">
        <v>25</v>
      </c>
      <c r="F31" s="27" t="s">
        <v>51</v>
      </c>
      <c r="G31" s="27" t="s">
        <v>404</v>
      </c>
      <c r="H31" s="40">
        <f ca="1">Tabel1[[#This Row],[KEHADIRAN]]/100</f>
        <v>0.84</v>
      </c>
    </row>
    <row r="32" spans="2:8" x14ac:dyDescent="0.25">
      <c r="B32" s="27">
        <v>30</v>
      </c>
      <c r="C32" s="27" t="s">
        <v>484</v>
      </c>
      <c r="D32" s="27" t="s">
        <v>485</v>
      </c>
      <c r="E32" s="27" t="s">
        <v>25</v>
      </c>
      <c r="F32" s="27" t="s">
        <v>51</v>
      </c>
      <c r="G32" s="27" t="s">
        <v>127</v>
      </c>
      <c r="H32" s="40">
        <f ca="1">Tabel1[[#This Row],[KEHADIRAN]]/100</f>
        <v>0.98</v>
      </c>
    </row>
    <row r="33" spans="2:8" x14ac:dyDescent="0.25">
      <c r="B33" s="27">
        <v>31</v>
      </c>
      <c r="C33" s="27" t="s">
        <v>486</v>
      </c>
      <c r="D33" s="27" t="s">
        <v>487</v>
      </c>
      <c r="E33" s="27" t="s">
        <v>25</v>
      </c>
      <c r="F33" s="27" t="s">
        <v>51</v>
      </c>
      <c r="G33" s="27" t="s">
        <v>132</v>
      </c>
      <c r="H33" s="40">
        <f ca="1">Tabel1[[#This Row],[KEHADIRAN]]/100</f>
        <v>0.8</v>
      </c>
    </row>
    <row r="34" spans="2:8" x14ac:dyDescent="0.25">
      <c r="B34" s="27">
        <v>32</v>
      </c>
      <c r="C34" s="27" t="s">
        <v>488</v>
      </c>
      <c r="D34" s="27" t="s">
        <v>489</v>
      </c>
      <c r="E34" s="27" t="s">
        <v>6</v>
      </c>
      <c r="F34" s="27" t="s">
        <v>50</v>
      </c>
      <c r="G34" s="27" t="s">
        <v>490</v>
      </c>
      <c r="H34" s="40">
        <f ca="1">Tabel1[[#This Row],[KEHADIRAN]]/100</f>
        <v>0</v>
      </c>
    </row>
    <row r="35" spans="2:8" x14ac:dyDescent="0.25">
      <c r="B35" s="27">
        <v>33</v>
      </c>
      <c r="C35" s="27" t="s">
        <v>491</v>
      </c>
      <c r="D35" s="27" t="s">
        <v>492</v>
      </c>
      <c r="E35" s="27" t="s">
        <v>31</v>
      </c>
      <c r="F35" s="27" t="s">
        <v>94</v>
      </c>
      <c r="G35" s="27" t="s">
        <v>298</v>
      </c>
      <c r="H35" s="40">
        <f ca="1">Tabel1[[#This Row],[KEHADIRAN]]/100</f>
        <v>0.92</v>
      </c>
    </row>
    <row r="36" spans="2:8" x14ac:dyDescent="0.25">
      <c r="B36" s="27">
        <v>34</v>
      </c>
      <c r="C36" s="27" t="s">
        <v>493</v>
      </c>
      <c r="D36" s="27" t="s">
        <v>494</v>
      </c>
      <c r="E36" s="27" t="s">
        <v>25</v>
      </c>
      <c r="F36" s="27" t="s">
        <v>51</v>
      </c>
      <c r="G36" s="27" t="s">
        <v>143</v>
      </c>
      <c r="H36" s="40">
        <f ca="1">Tabel1[[#This Row],[KEHADIRAN]]/100</f>
        <v>0.82</v>
      </c>
    </row>
    <row r="37" spans="2:8" x14ac:dyDescent="0.25">
      <c r="B37" s="27">
        <v>35</v>
      </c>
      <c r="C37" s="27" t="s">
        <v>495</v>
      </c>
      <c r="D37" s="27" t="s">
        <v>496</v>
      </c>
      <c r="E37" s="27" t="s">
        <v>25</v>
      </c>
      <c r="F37" s="27" t="s">
        <v>51</v>
      </c>
      <c r="G37" s="27" t="s">
        <v>154</v>
      </c>
      <c r="H37" s="40">
        <f ca="1">Tabel1[[#This Row],[KEHADIRAN]]/100</f>
        <v>0.8</v>
      </c>
    </row>
    <row r="38" spans="2:8" x14ac:dyDescent="0.25">
      <c r="B38" s="27">
        <v>36</v>
      </c>
      <c r="C38" s="27" t="s">
        <v>497</v>
      </c>
      <c r="D38" s="27" t="s">
        <v>498</v>
      </c>
      <c r="E38" s="27" t="s">
        <v>25</v>
      </c>
      <c r="F38" s="27" t="s">
        <v>51</v>
      </c>
      <c r="G38" s="27" t="s">
        <v>115</v>
      </c>
      <c r="H38" s="40">
        <f ca="1">Tabel1[[#This Row],[KEHADIRAN]]/100</f>
        <v>0.88</v>
      </c>
    </row>
    <row r="39" spans="2:8" x14ac:dyDescent="0.25">
      <c r="B39" s="27">
        <v>37</v>
      </c>
      <c r="C39" s="27" t="s">
        <v>499</v>
      </c>
      <c r="D39" s="27" t="s">
        <v>500</v>
      </c>
      <c r="E39" s="27" t="s">
        <v>31</v>
      </c>
      <c r="F39" s="27" t="s">
        <v>94</v>
      </c>
      <c r="G39" s="27" t="s">
        <v>288</v>
      </c>
      <c r="H39" s="40">
        <f ca="1">Tabel1[[#This Row],[KEHADIRAN]]/100</f>
        <v>0.82</v>
      </c>
    </row>
    <row r="40" spans="2:8" x14ac:dyDescent="0.25">
      <c r="B40" s="27">
        <v>38</v>
      </c>
      <c r="C40" s="27" t="s">
        <v>501</v>
      </c>
      <c r="D40" s="27" t="s">
        <v>502</v>
      </c>
      <c r="E40" s="27" t="s">
        <v>6</v>
      </c>
      <c r="F40" s="27" t="s">
        <v>8</v>
      </c>
      <c r="G40" s="27" t="s">
        <v>244</v>
      </c>
      <c r="H40" s="40">
        <f ca="1">Tabel1[[#This Row],[KEHADIRAN]]/100</f>
        <v>0</v>
      </c>
    </row>
    <row r="41" spans="2:8" x14ac:dyDescent="0.25">
      <c r="B41" s="27">
        <v>39</v>
      </c>
      <c r="C41" s="27" t="s">
        <v>503</v>
      </c>
      <c r="D41" s="27" t="s">
        <v>504</v>
      </c>
      <c r="E41" s="27" t="s">
        <v>25</v>
      </c>
      <c r="F41" s="27" t="s">
        <v>51</v>
      </c>
      <c r="G41" s="27" t="s">
        <v>239</v>
      </c>
      <c r="H41" s="40">
        <f ca="1">Tabel1[[#This Row],[KEHADIRAN]]/100</f>
        <v>0.86</v>
      </c>
    </row>
    <row r="42" spans="2:8" x14ac:dyDescent="0.25">
      <c r="B42" s="27">
        <v>40</v>
      </c>
      <c r="C42" s="27" t="s">
        <v>505</v>
      </c>
      <c r="D42" s="27" t="s">
        <v>506</v>
      </c>
      <c r="E42" s="27" t="s">
        <v>25</v>
      </c>
      <c r="F42" s="27" t="s">
        <v>51</v>
      </c>
      <c r="G42" s="27" t="s">
        <v>298</v>
      </c>
      <c r="H42" s="40">
        <f ca="1">Tabel1[[#This Row],[KEHADIRAN]]/100</f>
        <v>0.96</v>
      </c>
    </row>
    <row r="43" spans="2:8" x14ac:dyDescent="0.25">
      <c r="B43" s="27">
        <v>41</v>
      </c>
      <c r="C43" s="27" t="s">
        <v>507</v>
      </c>
      <c r="D43" s="27" t="s">
        <v>46</v>
      </c>
      <c r="E43" s="27" t="s">
        <v>31</v>
      </c>
      <c r="F43" s="27" t="s">
        <v>51</v>
      </c>
      <c r="G43" s="27" t="s">
        <v>402</v>
      </c>
      <c r="H43" s="40">
        <f ca="1">Tabel1[[#This Row],[KEHADIRAN]]/100</f>
        <v>0.86</v>
      </c>
    </row>
    <row r="44" spans="2:8" x14ac:dyDescent="0.25">
      <c r="B44" s="27">
        <v>42</v>
      </c>
      <c r="C44" s="27" t="s">
        <v>508</v>
      </c>
      <c r="D44" s="27" t="s">
        <v>509</v>
      </c>
      <c r="E44" s="27" t="s">
        <v>6</v>
      </c>
      <c r="F44" s="27" t="s">
        <v>50</v>
      </c>
      <c r="G44" s="27" t="s">
        <v>23</v>
      </c>
      <c r="H44" s="40">
        <f ca="1">Tabel1[[#This Row],[KEHADIRAN]]/100</f>
        <v>0</v>
      </c>
    </row>
    <row r="45" spans="2:8" x14ac:dyDescent="0.25">
      <c r="B45" s="27">
        <v>43</v>
      </c>
      <c r="C45" s="27" t="s">
        <v>510</v>
      </c>
      <c r="D45" s="27" t="s">
        <v>511</v>
      </c>
      <c r="E45" s="27" t="s">
        <v>6</v>
      </c>
      <c r="F45" s="27" t="s">
        <v>35</v>
      </c>
      <c r="G45" s="27" t="s">
        <v>417</v>
      </c>
      <c r="H45" s="40">
        <f ca="1">Tabel1[[#This Row],[KEHADIRAN]]/100</f>
        <v>0</v>
      </c>
    </row>
    <row r="46" spans="2:8" x14ac:dyDescent="0.25">
      <c r="B46" s="27">
        <v>44</v>
      </c>
      <c r="C46" s="27" t="s">
        <v>512</v>
      </c>
      <c r="D46" s="27" t="s">
        <v>513</v>
      </c>
      <c r="E46" s="27" t="s">
        <v>31</v>
      </c>
      <c r="F46" s="27" t="s">
        <v>51</v>
      </c>
      <c r="G46" s="27" t="s">
        <v>158</v>
      </c>
      <c r="H46" s="40">
        <f ca="1">Tabel1[[#This Row],[KEHADIRAN]]/100</f>
        <v>0.87</v>
      </c>
    </row>
    <row r="47" spans="2:8" x14ac:dyDescent="0.25">
      <c r="B47" s="27">
        <v>45</v>
      </c>
      <c r="C47" s="27" t="s">
        <v>514</v>
      </c>
      <c r="D47" s="27" t="s">
        <v>515</v>
      </c>
      <c r="E47" s="27" t="s">
        <v>6</v>
      </c>
      <c r="F47" s="27" t="s">
        <v>16</v>
      </c>
      <c r="G47" s="27" t="s">
        <v>516</v>
      </c>
      <c r="H47" s="40">
        <f ca="1">Tabel1[[#This Row],[KEHADIRAN]]/100</f>
        <v>0</v>
      </c>
    </row>
    <row r="48" spans="2:8" x14ac:dyDescent="0.25">
      <c r="B48" s="27">
        <v>46</v>
      </c>
      <c r="C48" s="27" t="s">
        <v>517</v>
      </c>
      <c r="D48" s="27" t="s">
        <v>518</v>
      </c>
      <c r="E48" s="27" t="s">
        <v>31</v>
      </c>
      <c r="F48" s="27" t="s">
        <v>51</v>
      </c>
      <c r="G48" s="27" t="s">
        <v>183</v>
      </c>
      <c r="H48" s="40">
        <f ca="1">Tabel1[[#This Row],[KEHADIRAN]]/100</f>
        <v>0.93</v>
      </c>
    </row>
    <row r="49" spans="2:8" x14ac:dyDescent="0.25">
      <c r="B49" s="27">
        <v>47</v>
      </c>
      <c r="C49" s="27" t="s">
        <v>519</v>
      </c>
      <c r="D49" s="27" t="s">
        <v>520</v>
      </c>
      <c r="E49" s="27" t="s">
        <v>6</v>
      </c>
      <c r="F49" s="27" t="s">
        <v>21</v>
      </c>
      <c r="G49" s="27" t="s">
        <v>521</v>
      </c>
      <c r="H49" s="40">
        <f ca="1">Tabel1[[#This Row],[KEHADIRAN]]/100</f>
        <v>0</v>
      </c>
    </row>
    <row r="50" spans="2:8" x14ac:dyDescent="0.25">
      <c r="B50" s="27">
        <v>48</v>
      </c>
      <c r="C50" s="27" t="s">
        <v>522</v>
      </c>
      <c r="D50" s="27" t="s">
        <v>523</v>
      </c>
      <c r="E50" s="27" t="s">
        <v>31</v>
      </c>
      <c r="F50" s="27" t="s">
        <v>70</v>
      </c>
      <c r="G50" s="27" t="s">
        <v>97</v>
      </c>
      <c r="H50" s="40">
        <f ca="1">Tabel1[[#This Row],[KEHADIRAN]]/100</f>
        <v>0.86</v>
      </c>
    </row>
    <row r="51" spans="2:8" x14ac:dyDescent="0.25">
      <c r="B51" s="27">
        <v>49</v>
      </c>
      <c r="C51" s="27" t="s">
        <v>524</v>
      </c>
      <c r="D51" s="27" t="s">
        <v>525</v>
      </c>
      <c r="E51" s="27" t="s">
        <v>31</v>
      </c>
      <c r="F51" s="27" t="s">
        <v>51</v>
      </c>
      <c r="G51" s="27" t="s">
        <v>323</v>
      </c>
      <c r="H51" s="40">
        <f ca="1">Tabel1[[#This Row],[KEHADIRAN]]/100</f>
        <v>0.96</v>
      </c>
    </row>
    <row r="52" spans="2:8" x14ac:dyDescent="0.25">
      <c r="B52" s="27">
        <v>50</v>
      </c>
      <c r="C52" s="27" t="s">
        <v>526</v>
      </c>
      <c r="D52" s="27" t="s">
        <v>527</v>
      </c>
      <c r="E52" s="27" t="s">
        <v>25</v>
      </c>
      <c r="F52" s="27" t="s">
        <v>94</v>
      </c>
      <c r="G52" s="27" t="s">
        <v>132</v>
      </c>
      <c r="H52" s="40">
        <f ca="1">Tabel1[[#This Row],[KEHADIRAN]]/100</f>
        <v>0.86</v>
      </c>
    </row>
    <row r="53" spans="2:8" x14ac:dyDescent="0.25">
      <c r="B53" s="27">
        <v>51</v>
      </c>
      <c r="C53" s="27" t="s">
        <v>528</v>
      </c>
      <c r="D53" s="27" t="s">
        <v>529</v>
      </c>
      <c r="E53" s="27" t="s">
        <v>31</v>
      </c>
      <c r="F53" s="27" t="s">
        <v>51</v>
      </c>
      <c r="G53" s="27" t="s">
        <v>476</v>
      </c>
      <c r="H53" s="40">
        <f ca="1">Tabel1[[#This Row],[KEHADIRAN]]/100</f>
        <v>0.96</v>
      </c>
    </row>
    <row r="54" spans="2:8" x14ac:dyDescent="0.25">
      <c r="B54" s="27">
        <v>52</v>
      </c>
      <c r="C54" s="27" t="s">
        <v>530</v>
      </c>
      <c r="D54" s="27" t="s">
        <v>531</v>
      </c>
      <c r="E54" s="27" t="s">
        <v>31</v>
      </c>
      <c r="F54" s="27" t="s">
        <v>135</v>
      </c>
      <c r="G54" s="27" t="s">
        <v>303</v>
      </c>
      <c r="H54" s="40">
        <f ca="1">Tabel1[[#This Row],[KEHADIRAN]]/100</f>
        <v>0.97</v>
      </c>
    </row>
    <row r="55" spans="2:8" x14ac:dyDescent="0.25">
      <c r="B55" s="27">
        <v>53</v>
      </c>
      <c r="C55" s="27" t="s">
        <v>532</v>
      </c>
      <c r="D55" s="27" t="s">
        <v>533</v>
      </c>
      <c r="E55" s="27" t="s">
        <v>25</v>
      </c>
      <c r="F55" s="27" t="s">
        <v>51</v>
      </c>
      <c r="G55" s="27" t="s">
        <v>169</v>
      </c>
      <c r="H55" s="40">
        <f ca="1">Tabel1[[#This Row],[KEHADIRAN]]/100</f>
        <v>0.87</v>
      </c>
    </row>
    <row r="56" spans="2:8" x14ac:dyDescent="0.25">
      <c r="B56" s="27">
        <v>54</v>
      </c>
      <c r="C56" s="27" t="s">
        <v>534</v>
      </c>
      <c r="D56" s="27" t="s">
        <v>535</v>
      </c>
      <c r="E56" s="27" t="s">
        <v>6</v>
      </c>
      <c r="F56" s="27" t="s">
        <v>52</v>
      </c>
      <c r="G56" s="27" t="s">
        <v>536</v>
      </c>
      <c r="H56" s="40">
        <f ca="1">Tabel1[[#This Row],[KEHADIRAN]]/100</f>
        <v>0</v>
      </c>
    </row>
    <row r="57" spans="2:8" x14ac:dyDescent="0.25">
      <c r="B57" s="27">
        <v>55</v>
      </c>
      <c r="C57" s="27" t="s">
        <v>537</v>
      </c>
      <c r="D57" s="27" t="s">
        <v>538</v>
      </c>
      <c r="E57" s="27" t="s">
        <v>31</v>
      </c>
      <c r="F57" s="27" t="s">
        <v>204</v>
      </c>
      <c r="G57" s="27" t="s">
        <v>29</v>
      </c>
      <c r="H57" s="40">
        <f ca="1">Tabel1[[#This Row],[KEHADIRAN]]/100</f>
        <v>0.98</v>
      </c>
    </row>
    <row r="58" spans="2:8" x14ac:dyDescent="0.25">
      <c r="B58" s="27">
        <v>56</v>
      </c>
      <c r="C58" s="27" t="s">
        <v>539</v>
      </c>
      <c r="D58" s="27" t="s">
        <v>540</v>
      </c>
      <c r="E58" s="27" t="s">
        <v>25</v>
      </c>
      <c r="F58" s="27" t="s">
        <v>51</v>
      </c>
      <c r="G58" s="27" t="s">
        <v>119</v>
      </c>
      <c r="H58" s="40">
        <f ca="1">Tabel1[[#This Row],[KEHADIRAN]]/100</f>
        <v>0.88</v>
      </c>
    </row>
    <row r="59" spans="2:8" x14ac:dyDescent="0.25">
      <c r="B59" s="27">
        <v>57</v>
      </c>
      <c r="C59" s="27" t="s">
        <v>541</v>
      </c>
      <c r="D59" s="27" t="s">
        <v>542</v>
      </c>
      <c r="E59" s="27" t="s">
        <v>25</v>
      </c>
      <c r="F59" s="27" t="s">
        <v>26</v>
      </c>
      <c r="G59" s="27" t="s">
        <v>267</v>
      </c>
      <c r="H59" s="40">
        <f ca="1">Tabel1[[#This Row],[KEHADIRAN]]/100</f>
        <v>0.84</v>
      </c>
    </row>
    <row r="60" spans="2:8" x14ac:dyDescent="0.25">
      <c r="B60" s="27">
        <v>58</v>
      </c>
      <c r="C60" s="27" t="s">
        <v>543</v>
      </c>
      <c r="D60" s="27" t="s">
        <v>544</v>
      </c>
      <c r="E60" s="27" t="s">
        <v>31</v>
      </c>
      <c r="F60" s="27" t="s">
        <v>39</v>
      </c>
      <c r="G60" s="27" t="s">
        <v>269</v>
      </c>
      <c r="H60" s="40">
        <f ca="1">Tabel1[[#This Row],[KEHADIRAN]]/100</f>
        <v>0.8</v>
      </c>
    </row>
    <row r="61" spans="2:8" x14ac:dyDescent="0.25">
      <c r="B61" s="27">
        <v>59</v>
      </c>
      <c r="C61" s="27" t="s">
        <v>545</v>
      </c>
      <c r="D61" s="27" t="s">
        <v>546</v>
      </c>
      <c r="E61" s="27" t="s">
        <v>6</v>
      </c>
      <c r="F61" s="27" t="s">
        <v>166</v>
      </c>
      <c r="G61" s="27" t="s">
        <v>547</v>
      </c>
      <c r="H61" s="40">
        <f ca="1">Tabel1[[#This Row],[KEHADIRAN]]/100</f>
        <v>0</v>
      </c>
    </row>
    <row r="62" spans="2:8" x14ac:dyDescent="0.25">
      <c r="B62" s="27">
        <v>60</v>
      </c>
      <c r="C62" s="27" t="s">
        <v>548</v>
      </c>
      <c r="D62" s="27" t="s">
        <v>549</v>
      </c>
      <c r="E62" s="27" t="s">
        <v>31</v>
      </c>
      <c r="F62" s="27" t="s">
        <v>51</v>
      </c>
      <c r="G62" s="27" t="s">
        <v>415</v>
      </c>
      <c r="H62" s="40">
        <f ca="1">Tabel1[[#This Row],[KEHADIRAN]]/100</f>
        <v>0.93</v>
      </c>
    </row>
    <row r="63" spans="2:8" x14ac:dyDescent="0.25">
      <c r="B63" s="27">
        <v>61</v>
      </c>
      <c r="C63" s="27" t="s">
        <v>550</v>
      </c>
      <c r="D63" s="27" t="s">
        <v>551</v>
      </c>
      <c r="E63" s="27" t="s">
        <v>25</v>
      </c>
      <c r="F63" s="27" t="s">
        <v>51</v>
      </c>
      <c r="G63" s="27" t="s">
        <v>298</v>
      </c>
      <c r="H63" s="40">
        <f ca="1">Tabel1[[#This Row],[KEHADIRAN]]/100</f>
        <v>0.85</v>
      </c>
    </row>
    <row r="64" spans="2:8" x14ac:dyDescent="0.25">
      <c r="B64" s="27">
        <v>62</v>
      </c>
      <c r="C64" s="27" t="s">
        <v>552</v>
      </c>
      <c r="D64" s="27" t="s">
        <v>553</v>
      </c>
      <c r="E64" s="27" t="s">
        <v>31</v>
      </c>
      <c r="F64" s="27" t="s">
        <v>223</v>
      </c>
      <c r="G64" s="27" t="s">
        <v>146</v>
      </c>
      <c r="H64" s="40">
        <f ca="1">Tabel1[[#This Row],[KEHADIRAN]]/100</f>
        <v>0.95</v>
      </c>
    </row>
    <row r="65" spans="2:8" x14ac:dyDescent="0.25">
      <c r="B65" s="27">
        <v>63</v>
      </c>
      <c r="C65" s="27" t="s">
        <v>554</v>
      </c>
      <c r="D65" s="27" t="s">
        <v>555</v>
      </c>
      <c r="E65" s="27" t="s">
        <v>31</v>
      </c>
      <c r="F65" s="27" t="s">
        <v>51</v>
      </c>
      <c r="G65" s="27" t="s">
        <v>177</v>
      </c>
      <c r="H65" s="40">
        <f ca="1">Tabel1[[#This Row],[KEHADIRAN]]/100</f>
        <v>0.89</v>
      </c>
    </row>
    <row r="66" spans="2:8" x14ac:dyDescent="0.25">
      <c r="B66" s="27">
        <v>64</v>
      </c>
      <c r="C66" s="27" t="s">
        <v>556</v>
      </c>
      <c r="D66" s="27" t="s">
        <v>557</v>
      </c>
      <c r="E66" s="27" t="s">
        <v>31</v>
      </c>
      <c r="F66" s="27" t="s">
        <v>7</v>
      </c>
      <c r="G66" s="27" t="s">
        <v>91</v>
      </c>
      <c r="H66" s="40">
        <f ca="1">Tabel1[[#This Row],[KEHADIRAN]]/100</f>
        <v>0.94</v>
      </c>
    </row>
    <row r="67" spans="2:8" x14ac:dyDescent="0.25">
      <c r="B67" s="27">
        <v>65</v>
      </c>
      <c r="C67" s="27" t="s">
        <v>558</v>
      </c>
      <c r="D67" s="27" t="s">
        <v>559</v>
      </c>
      <c r="E67" s="27" t="s">
        <v>31</v>
      </c>
      <c r="F67" s="27" t="s">
        <v>39</v>
      </c>
      <c r="G67" s="27" t="s">
        <v>560</v>
      </c>
      <c r="H67" s="40">
        <f ca="1">Tabel1[[#This Row],[KEHADIRAN]]/100</f>
        <v>0.91</v>
      </c>
    </row>
    <row r="68" spans="2:8" x14ac:dyDescent="0.25">
      <c r="B68" s="27">
        <v>66</v>
      </c>
      <c r="C68" s="27" t="s">
        <v>561</v>
      </c>
      <c r="D68" s="27" t="s">
        <v>562</v>
      </c>
      <c r="E68" s="27" t="s">
        <v>31</v>
      </c>
      <c r="F68" s="27" t="s">
        <v>94</v>
      </c>
      <c r="G68" s="27" t="s">
        <v>241</v>
      </c>
      <c r="H68" s="40">
        <f ca="1">Tabel1[[#This Row],[KEHADIRAN]]/100</f>
        <v>0.85</v>
      </c>
    </row>
    <row r="69" spans="2:8" x14ac:dyDescent="0.25">
      <c r="B69" s="27">
        <v>67</v>
      </c>
      <c r="C69" s="27" t="s">
        <v>563</v>
      </c>
      <c r="D69" s="27" t="s">
        <v>564</v>
      </c>
      <c r="E69" s="27" t="s">
        <v>31</v>
      </c>
      <c r="F69" s="27" t="s">
        <v>94</v>
      </c>
      <c r="G69" s="27" t="s">
        <v>137</v>
      </c>
      <c r="H69" s="40">
        <f ca="1">Tabel1[[#This Row],[KEHADIRAN]]/100</f>
        <v>0.86</v>
      </c>
    </row>
    <row r="70" spans="2:8" x14ac:dyDescent="0.25">
      <c r="B70" s="27">
        <v>68</v>
      </c>
      <c r="C70" s="27" t="s">
        <v>565</v>
      </c>
      <c r="D70" s="27" t="s">
        <v>566</v>
      </c>
      <c r="E70" s="27" t="s">
        <v>31</v>
      </c>
      <c r="F70" s="27" t="s">
        <v>219</v>
      </c>
      <c r="G70" s="27" t="s">
        <v>139</v>
      </c>
      <c r="H70" s="40">
        <f ca="1">Tabel1[[#This Row],[KEHADIRAN]]/100</f>
        <v>0.81</v>
      </c>
    </row>
    <row r="71" spans="2:8" x14ac:dyDescent="0.25">
      <c r="B71" s="27">
        <v>69</v>
      </c>
      <c r="C71" s="27" t="s">
        <v>567</v>
      </c>
      <c r="D71" s="27" t="s">
        <v>568</v>
      </c>
      <c r="E71" s="27" t="s">
        <v>31</v>
      </c>
      <c r="F71" s="27" t="s">
        <v>32</v>
      </c>
      <c r="G71" s="27" t="s">
        <v>158</v>
      </c>
      <c r="H71" s="40">
        <f ca="1">Tabel1[[#This Row],[KEHADIRAN]]/100</f>
        <v>0.88</v>
      </c>
    </row>
    <row r="72" spans="2:8" x14ac:dyDescent="0.25">
      <c r="B72" s="27">
        <v>70</v>
      </c>
      <c r="C72" s="27" t="s">
        <v>569</v>
      </c>
      <c r="D72" s="27" t="s">
        <v>570</v>
      </c>
      <c r="E72" s="27" t="s">
        <v>6</v>
      </c>
      <c r="F72" s="27" t="s">
        <v>166</v>
      </c>
      <c r="G72" s="27" t="s">
        <v>571</v>
      </c>
      <c r="H72" s="40">
        <f ca="1">Tabel1[[#This Row],[KEHADIRAN]]/100</f>
        <v>0</v>
      </c>
    </row>
    <row r="73" spans="2:8" x14ac:dyDescent="0.25">
      <c r="B73" s="27">
        <v>71</v>
      </c>
      <c r="C73" s="27" t="s">
        <v>572</v>
      </c>
      <c r="D73" s="27" t="s">
        <v>407</v>
      </c>
      <c r="E73" s="27" t="s">
        <v>31</v>
      </c>
      <c r="F73" s="27" t="s">
        <v>39</v>
      </c>
      <c r="G73" s="27" t="s">
        <v>122</v>
      </c>
      <c r="H73" s="40">
        <f ca="1">Tabel1[[#This Row],[KEHADIRAN]]/100</f>
        <v>0.85</v>
      </c>
    </row>
    <row r="74" spans="2:8" x14ac:dyDescent="0.25">
      <c r="B74" s="27">
        <v>72</v>
      </c>
      <c r="C74" s="27" t="s">
        <v>573</v>
      </c>
      <c r="D74" s="27" t="s">
        <v>574</v>
      </c>
      <c r="E74" s="27" t="s">
        <v>31</v>
      </c>
      <c r="F74" s="27" t="s">
        <v>77</v>
      </c>
      <c r="G74" s="27" t="s">
        <v>215</v>
      </c>
      <c r="H74" s="40">
        <f ca="1">Tabel1[[#This Row],[KEHADIRAN]]/100</f>
        <v>0.82</v>
      </c>
    </row>
    <row r="75" spans="2:8" x14ac:dyDescent="0.25">
      <c r="B75" s="27">
        <v>73</v>
      </c>
      <c r="C75" s="27" t="s">
        <v>575</v>
      </c>
      <c r="D75" s="27" t="s">
        <v>576</v>
      </c>
      <c r="E75" s="27" t="s">
        <v>31</v>
      </c>
      <c r="F75" s="27" t="s">
        <v>94</v>
      </c>
      <c r="G75" s="27" t="s">
        <v>412</v>
      </c>
      <c r="H75" s="40">
        <f ca="1">Tabel1[[#This Row],[KEHADIRAN]]/100</f>
        <v>0.84</v>
      </c>
    </row>
    <row r="76" spans="2:8" x14ac:dyDescent="0.25">
      <c r="B76" s="27">
        <v>74</v>
      </c>
      <c r="C76" s="27" t="s">
        <v>577</v>
      </c>
      <c r="D76" s="27" t="s">
        <v>578</v>
      </c>
      <c r="E76" s="27" t="s">
        <v>31</v>
      </c>
      <c r="F76" s="27" t="s">
        <v>51</v>
      </c>
      <c r="G76" s="27" t="s">
        <v>217</v>
      </c>
      <c r="H76" s="40">
        <f ca="1">Tabel1[[#This Row],[KEHADIRAN]]/100</f>
        <v>0.87</v>
      </c>
    </row>
    <row r="77" spans="2:8" x14ac:dyDescent="0.25">
      <c r="B77" s="27">
        <v>75</v>
      </c>
      <c r="C77" s="27" t="s">
        <v>579</v>
      </c>
      <c r="D77" s="27" t="s">
        <v>580</v>
      </c>
      <c r="E77" s="27" t="s">
        <v>31</v>
      </c>
      <c r="F77" s="27" t="s">
        <v>57</v>
      </c>
      <c r="G77" s="27" t="s">
        <v>151</v>
      </c>
      <c r="H77" s="40">
        <f ca="1">Tabel1[[#This Row],[KEHADIRAN]]/100</f>
        <v>0.95</v>
      </c>
    </row>
    <row r="78" spans="2:8" x14ac:dyDescent="0.25">
      <c r="B78" s="27">
        <v>76</v>
      </c>
      <c r="C78" s="27" t="s">
        <v>581</v>
      </c>
      <c r="D78" s="27" t="s">
        <v>582</v>
      </c>
      <c r="E78" s="27" t="s">
        <v>31</v>
      </c>
      <c r="F78" s="27" t="s">
        <v>77</v>
      </c>
      <c r="G78" s="27" t="s">
        <v>95</v>
      </c>
      <c r="H78" s="40">
        <f ca="1">Tabel1[[#This Row],[KEHADIRAN]]/100</f>
        <v>0.99</v>
      </c>
    </row>
    <row r="79" spans="2:8" x14ac:dyDescent="0.25">
      <c r="B79" s="27">
        <v>77</v>
      </c>
      <c r="C79" s="27" t="s">
        <v>583</v>
      </c>
      <c r="D79" s="27" t="s">
        <v>584</v>
      </c>
      <c r="E79" s="27" t="s">
        <v>31</v>
      </c>
      <c r="F79" s="27" t="s">
        <v>94</v>
      </c>
      <c r="G79" s="27" t="s">
        <v>227</v>
      </c>
      <c r="H79" s="40">
        <f ca="1">Tabel1[[#This Row],[KEHADIRAN]]/100</f>
        <v>0.99</v>
      </c>
    </row>
    <row r="80" spans="2:8" x14ac:dyDescent="0.25">
      <c r="B80" s="27">
        <v>78</v>
      </c>
      <c r="C80" s="27" t="s">
        <v>585</v>
      </c>
      <c r="D80" s="27" t="s">
        <v>586</v>
      </c>
      <c r="E80" s="27" t="s">
        <v>31</v>
      </c>
      <c r="F80" s="27" t="s">
        <v>70</v>
      </c>
      <c r="G80" s="27" t="s">
        <v>254</v>
      </c>
      <c r="H80" s="40">
        <f ca="1">Tabel1[[#This Row],[KEHADIRAN]]/100</f>
        <v>0.98</v>
      </c>
    </row>
    <row r="81" spans="2:8" x14ac:dyDescent="0.25">
      <c r="B81" s="27">
        <v>79</v>
      </c>
      <c r="C81" s="27" t="s">
        <v>587</v>
      </c>
      <c r="D81" s="27" t="s">
        <v>588</v>
      </c>
      <c r="E81" s="27" t="s">
        <v>31</v>
      </c>
      <c r="F81" s="27" t="s">
        <v>42</v>
      </c>
      <c r="G81" s="27" t="s">
        <v>418</v>
      </c>
      <c r="H81" s="40">
        <f ca="1">Tabel1[[#This Row],[KEHADIRAN]]/100</f>
        <v>0.84</v>
      </c>
    </row>
    <row r="82" spans="2:8" x14ac:dyDescent="0.25">
      <c r="B82" s="27">
        <v>80</v>
      </c>
      <c r="C82" s="27" t="s">
        <v>589</v>
      </c>
      <c r="D82" s="27" t="s">
        <v>590</v>
      </c>
      <c r="E82" s="27" t="s">
        <v>31</v>
      </c>
      <c r="F82" s="27" t="s">
        <v>39</v>
      </c>
      <c r="G82" s="27" t="s">
        <v>124</v>
      </c>
      <c r="H82" s="40">
        <f ca="1">Tabel1[[#This Row],[KEHADIRAN]]/100</f>
        <v>0.97</v>
      </c>
    </row>
    <row r="83" spans="2:8" x14ac:dyDescent="0.25">
      <c r="B83" s="27">
        <v>81</v>
      </c>
      <c r="C83" s="27" t="s">
        <v>591</v>
      </c>
      <c r="D83" s="27" t="s">
        <v>592</v>
      </c>
      <c r="E83" s="27" t="s">
        <v>31</v>
      </c>
      <c r="F83" s="27" t="s">
        <v>94</v>
      </c>
      <c r="G83" s="27" t="s">
        <v>412</v>
      </c>
      <c r="H83" s="40">
        <f ca="1">Tabel1[[#This Row],[KEHADIRAN]]/100</f>
        <v>1</v>
      </c>
    </row>
    <row r="84" spans="2:8" x14ac:dyDescent="0.25">
      <c r="B84" s="27">
        <v>82</v>
      </c>
      <c r="C84" s="27" t="s">
        <v>593</v>
      </c>
      <c r="D84" s="27" t="s">
        <v>594</v>
      </c>
      <c r="E84" s="27" t="s">
        <v>31</v>
      </c>
      <c r="F84" s="27" t="s">
        <v>94</v>
      </c>
      <c r="G84" s="27" t="s">
        <v>229</v>
      </c>
      <c r="H84" s="40">
        <f ca="1">Tabel1[[#This Row],[KEHADIRAN]]/100</f>
        <v>0.86</v>
      </c>
    </row>
    <row r="85" spans="2:8" x14ac:dyDescent="0.25">
      <c r="B85" s="27">
        <v>83</v>
      </c>
      <c r="C85" s="27" t="s">
        <v>595</v>
      </c>
      <c r="D85" s="27" t="s">
        <v>596</v>
      </c>
      <c r="E85" s="27" t="s">
        <v>31</v>
      </c>
      <c r="F85" s="27" t="s">
        <v>77</v>
      </c>
      <c r="G85" s="27" t="s">
        <v>124</v>
      </c>
      <c r="H85" s="40">
        <f ca="1">Tabel1[[#This Row],[KEHADIRAN]]/100</f>
        <v>0.95</v>
      </c>
    </row>
    <row r="86" spans="2:8" x14ac:dyDescent="0.25">
      <c r="B86" s="27">
        <v>84</v>
      </c>
      <c r="C86" s="27" t="s">
        <v>597</v>
      </c>
      <c r="D86" s="27" t="s">
        <v>598</v>
      </c>
      <c r="E86" s="27" t="s">
        <v>31</v>
      </c>
      <c r="F86" s="27" t="s">
        <v>94</v>
      </c>
      <c r="G86" s="27" t="s">
        <v>172</v>
      </c>
      <c r="H86" s="40">
        <f ca="1">Tabel1[[#This Row],[KEHADIRAN]]/100</f>
        <v>0.87</v>
      </c>
    </row>
    <row r="87" spans="2:8" x14ac:dyDescent="0.25">
      <c r="B87" s="27">
        <v>85</v>
      </c>
      <c r="C87" s="27" t="s">
        <v>599</v>
      </c>
      <c r="D87" s="27" t="s">
        <v>600</v>
      </c>
      <c r="E87" s="27" t="s">
        <v>31</v>
      </c>
      <c r="F87" s="27" t="s">
        <v>53</v>
      </c>
      <c r="G87" s="27" t="s">
        <v>67</v>
      </c>
      <c r="H87" s="40">
        <f ca="1">Tabel1[[#This Row],[KEHADIRAN]]/100</f>
        <v>0.92</v>
      </c>
    </row>
    <row r="88" spans="2:8" x14ac:dyDescent="0.25">
      <c r="B88" s="27">
        <v>86</v>
      </c>
      <c r="C88" s="27" t="s">
        <v>601</v>
      </c>
      <c r="D88" s="27" t="s">
        <v>602</v>
      </c>
      <c r="E88" s="27" t="s">
        <v>31</v>
      </c>
      <c r="F88" s="27" t="s">
        <v>39</v>
      </c>
      <c r="G88" s="27" t="s">
        <v>416</v>
      </c>
      <c r="H88" s="40">
        <f ca="1">Tabel1[[#This Row],[KEHADIRAN]]/100</f>
        <v>0.89</v>
      </c>
    </row>
    <row r="89" spans="2:8" x14ac:dyDescent="0.25">
      <c r="B89" s="27">
        <v>87</v>
      </c>
      <c r="C89" s="27" t="s">
        <v>603</v>
      </c>
      <c r="D89" s="27" t="s">
        <v>604</v>
      </c>
      <c r="E89" s="27" t="s">
        <v>31</v>
      </c>
      <c r="F89" s="27" t="s">
        <v>94</v>
      </c>
      <c r="G89" s="27" t="s">
        <v>257</v>
      </c>
      <c r="H89" s="40">
        <f ca="1">Tabel1[[#This Row],[KEHADIRAN]]/100</f>
        <v>0.87</v>
      </c>
    </row>
    <row r="90" spans="2:8" x14ac:dyDescent="0.25">
      <c r="B90" s="27">
        <v>88</v>
      </c>
      <c r="C90" s="27" t="s">
        <v>605</v>
      </c>
      <c r="D90" s="27" t="s">
        <v>606</v>
      </c>
      <c r="E90" s="27" t="s">
        <v>6</v>
      </c>
      <c r="F90" s="27" t="s">
        <v>41</v>
      </c>
      <c r="G90" s="27" t="s">
        <v>607</v>
      </c>
      <c r="H90" s="40">
        <f ca="1">Tabel1[[#This Row],[KEHADIRAN]]/100</f>
        <v>0</v>
      </c>
    </row>
    <row r="91" spans="2:8" x14ac:dyDescent="0.25">
      <c r="B91" s="27">
        <v>89</v>
      </c>
      <c r="C91" s="27" t="s">
        <v>608</v>
      </c>
      <c r="D91" s="27" t="s">
        <v>609</v>
      </c>
      <c r="E91" s="27" t="s">
        <v>31</v>
      </c>
      <c r="F91" s="27" t="s">
        <v>57</v>
      </c>
      <c r="G91" s="27" t="s">
        <v>121</v>
      </c>
      <c r="H91" s="40">
        <f ca="1">Tabel1[[#This Row],[KEHADIRAN]]/100</f>
        <v>0.84</v>
      </c>
    </row>
    <row r="92" spans="2:8" x14ac:dyDescent="0.25">
      <c r="B92" s="27">
        <v>90</v>
      </c>
      <c r="C92" s="27" t="s">
        <v>610</v>
      </c>
      <c r="D92" s="27" t="s">
        <v>611</v>
      </c>
      <c r="E92" s="27" t="s">
        <v>31</v>
      </c>
      <c r="F92" s="27" t="s">
        <v>94</v>
      </c>
      <c r="G92" s="27" t="s">
        <v>169</v>
      </c>
      <c r="H92" s="40">
        <f ca="1">Tabel1[[#This Row],[KEHADIRAN]]/100</f>
        <v>0.93</v>
      </c>
    </row>
    <row r="93" spans="2:8" x14ac:dyDescent="0.25">
      <c r="B93" s="27">
        <v>91</v>
      </c>
      <c r="C93" s="27" t="s">
        <v>612</v>
      </c>
      <c r="D93" s="27" t="s">
        <v>613</v>
      </c>
      <c r="E93" s="27" t="s">
        <v>31</v>
      </c>
      <c r="F93" s="27" t="s">
        <v>53</v>
      </c>
      <c r="G93" s="27" t="s">
        <v>404</v>
      </c>
      <c r="H93" s="40">
        <f ca="1">Tabel1[[#This Row],[KEHADIRAN]]/100</f>
        <v>0.92</v>
      </c>
    </row>
    <row r="94" spans="2:8" x14ac:dyDescent="0.25">
      <c r="B94" s="27">
        <v>92</v>
      </c>
      <c r="C94" s="27" t="s">
        <v>614</v>
      </c>
      <c r="D94" s="27" t="s">
        <v>615</v>
      </c>
      <c r="E94" s="27" t="s">
        <v>31</v>
      </c>
      <c r="F94" s="27" t="s">
        <v>43</v>
      </c>
      <c r="G94" s="27" t="s">
        <v>203</v>
      </c>
      <c r="H94" s="40">
        <f ca="1">Tabel1[[#This Row],[KEHADIRAN]]/100</f>
        <v>0.85</v>
      </c>
    </row>
    <row r="95" spans="2:8" x14ac:dyDescent="0.25">
      <c r="B95" s="27">
        <v>93</v>
      </c>
      <c r="C95" s="27" t="s">
        <v>616</v>
      </c>
      <c r="D95" s="27" t="s">
        <v>617</v>
      </c>
      <c r="E95" s="27" t="s">
        <v>31</v>
      </c>
      <c r="F95" s="27" t="s">
        <v>88</v>
      </c>
      <c r="G95" s="27" t="s">
        <v>259</v>
      </c>
      <c r="H95" s="40">
        <f ca="1">Tabel1[[#This Row],[KEHADIRAN]]/100</f>
        <v>0.82</v>
      </c>
    </row>
    <row r="96" spans="2:8" x14ac:dyDescent="0.25">
      <c r="B96" s="27">
        <v>94</v>
      </c>
      <c r="C96" s="27" t="s">
        <v>618</v>
      </c>
      <c r="D96" s="27" t="s">
        <v>619</v>
      </c>
      <c r="E96" s="27" t="s">
        <v>31</v>
      </c>
      <c r="F96" s="27" t="s">
        <v>155</v>
      </c>
      <c r="G96" s="27" t="s">
        <v>339</v>
      </c>
      <c r="H96" s="40">
        <f ca="1">Tabel1[[#This Row],[KEHADIRAN]]/100</f>
        <v>0.95</v>
      </c>
    </row>
    <row r="97" spans="2:8" x14ac:dyDescent="0.25">
      <c r="B97" s="27">
        <v>95</v>
      </c>
      <c r="C97" s="27" t="s">
        <v>620</v>
      </c>
      <c r="D97" s="27" t="s">
        <v>621</v>
      </c>
      <c r="E97" s="27" t="s">
        <v>31</v>
      </c>
      <c r="F97" s="27" t="s">
        <v>94</v>
      </c>
      <c r="G97" s="27" t="s">
        <v>257</v>
      </c>
      <c r="H97" s="40">
        <f ca="1">Tabel1[[#This Row],[KEHADIRAN]]/100</f>
        <v>0.97</v>
      </c>
    </row>
    <row r="98" spans="2:8" x14ac:dyDescent="0.25">
      <c r="B98" s="27">
        <v>96</v>
      </c>
      <c r="C98" s="27" t="s">
        <v>622</v>
      </c>
      <c r="D98" s="27" t="s">
        <v>623</v>
      </c>
      <c r="E98" s="27" t="s">
        <v>31</v>
      </c>
      <c r="F98" s="27" t="s">
        <v>226</v>
      </c>
      <c r="G98" s="27" t="s">
        <v>160</v>
      </c>
      <c r="H98" s="40">
        <f ca="1">Tabel1[[#This Row],[KEHADIRAN]]/100</f>
        <v>0.84</v>
      </c>
    </row>
    <row r="99" spans="2:8" x14ac:dyDescent="0.25">
      <c r="B99" s="27">
        <v>97</v>
      </c>
      <c r="C99" s="27" t="s">
        <v>624</v>
      </c>
      <c r="D99" s="27" t="s">
        <v>625</v>
      </c>
      <c r="E99" s="27" t="s">
        <v>19</v>
      </c>
      <c r="F99" s="27" t="s">
        <v>72</v>
      </c>
      <c r="G99" s="27" t="s">
        <v>626</v>
      </c>
      <c r="H99" s="40">
        <f ca="1">Tabel1[[#This Row],[KEHADIRAN]]/100</f>
        <v>0</v>
      </c>
    </row>
    <row r="100" spans="2:8" x14ac:dyDescent="0.25">
      <c r="B100" s="27">
        <v>98</v>
      </c>
      <c r="C100" s="27" t="s">
        <v>627</v>
      </c>
      <c r="D100" s="27" t="s">
        <v>628</v>
      </c>
      <c r="E100" s="27" t="s">
        <v>31</v>
      </c>
      <c r="F100" s="27" t="s">
        <v>77</v>
      </c>
      <c r="G100" s="27" t="s">
        <v>132</v>
      </c>
      <c r="H100" s="40">
        <f ca="1">Tabel1[[#This Row],[KEHADIRAN]]/100</f>
        <v>0.84</v>
      </c>
    </row>
    <row r="101" spans="2:8" x14ac:dyDescent="0.25">
      <c r="B101" s="27">
        <v>99</v>
      </c>
      <c r="C101" s="27" t="s">
        <v>629</v>
      </c>
      <c r="D101" s="27" t="s">
        <v>630</v>
      </c>
      <c r="E101" s="27" t="s">
        <v>31</v>
      </c>
      <c r="F101" s="27" t="s">
        <v>28</v>
      </c>
      <c r="G101" s="27" t="s">
        <v>215</v>
      </c>
      <c r="H101" s="40">
        <f ca="1">Tabel1[[#This Row],[KEHADIRAN]]/100</f>
        <v>0.89</v>
      </c>
    </row>
    <row r="102" spans="2:8" x14ac:dyDescent="0.25">
      <c r="B102" s="27">
        <v>100</v>
      </c>
      <c r="C102" s="27" t="s">
        <v>631</v>
      </c>
      <c r="D102" s="27" t="s">
        <v>632</v>
      </c>
      <c r="E102" s="27" t="s">
        <v>31</v>
      </c>
      <c r="F102" s="27" t="s">
        <v>27</v>
      </c>
      <c r="G102" s="27" t="s">
        <v>633</v>
      </c>
      <c r="H102" s="40">
        <f ca="1">Tabel1[[#This Row],[KEHADIRAN]]/100</f>
        <v>0.98</v>
      </c>
    </row>
    <row r="103" spans="2:8" x14ac:dyDescent="0.25">
      <c r="B103" s="27">
        <v>101</v>
      </c>
      <c r="C103" s="27" t="s">
        <v>634</v>
      </c>
      <c r="D103" s="27" t="s">
        <v>635</v>
      </c>
      <c r="E103" s="27" t="s">
        <v>31</v>
      </c>
      <c r="F103" s="27" t="s">
        <v>13</v>
      </c>
      <c r="G103" s="27" t="s">
        <v>193</v>
      </c>
      <c r="H103" s="40">
        <f ca="1">Tabel1[[#This Row],[KEHADIRAN]]/100</f>
        <v>0.85</v>
      </c>
    </row>
    <row r="104" spans="2:8" x14ac:dyDescent="0.25">
      <c r="B104" s="27">
        <v>102</v>
      </c>
      <c r="C104" s="27" t="s">
        <v>636</v>
      </c>
      <c r="D104" s="27" t="s">
        <v>637</v>
      </c>
      <c r="E104" s="27" t="s">
        <v>31</v>
      </c>
      <c r="F104" s="27" t="s">
        <v>94</v>
      </c>
      <c r="G104" s="27" t="s">
        <v>130</v>
      </c>
      <c r="H104" s="40">
        <f ca="1">Tabel1[[#This Row],[KEHADIRAN]]/100</f>
        <v>0.92</v>
      </c>
    </row>
    <row r="105" spans="2:8" x14ac:dyDescent="0.25">
      <c r="B105" s="27">
        <v>103</v>
      </c>
      <c r="C105" s="27" t="s">
        <v>638</v>
      </c>
      <c r="D105" s="27" t="s">
        <v>639</v>
      </c>
      <c r="E105" s="27" t="s">
        <v>31</v>
      </c>
      <c r="F105" s="27" t="s">
        <v>224</v>
      </c>
      <c r="G105" s="27" t="s">
        <v>54</v>
      </c>
      <c r="H105" s="40">
        <f ca="1">Tabel1[[#This Row],[KEHADIRAN]]/100</f>
        <v>0.81</v>
      </c>
    </row>
    <row r="106" spans="2:8" x14ac:dyDescent="0.25">
      <c r="B106" s="27">
        <v>104</v>
      </c>
      <c r="C106" s="27" t="s">
        <v>640</v>
      </c>
      <c r="D106" s="27" t="s">
        <v>641</v>
      </c>
      <c r="E106" s="27" t="s">
        <v>31</v>
      </c>
      <c r="F106" s="27" t="s">
        <v>42</v>
      </c>
      <c r="G106" s="27" t="s">
        <v>160</v>
      </c>
      <c r="H106" s="40">
        <f ca="1">Tabel1[[#This Row],[KEHADIRAN]]/100</f>
        <v>0.93</v>
      </c>
    </row>
    <row r="107" spans="2:8" x14ac:dyDescent="0.25">
      <c r="B107" s="27">
        <v>105</v>
      </c>
      <c r="C107" s="27" t="s">
        <v>642</v>
      </c>
      <c r="D107" s="27" t="s">
        <v>643</v>
      </c>
      <c r="E107" s="27" t="s">
        <v>31</v>
      </c>
      <c r="F107" s="27" t="s">
        <v>77</v>
      </c>
      <c r="G107" s="27" t="s">
        <v>113</v>
      </c>
      <c r="H107" s="40">
        <f ca="1">Tabel1[[#This Row],[KEHADIRAN]]/100</f>
        <v>0.82</v>
      </c>
    </row>
    <row r="108" spans="2:8" x14ac:dyDescent="0.25">
      <c r="B108" s="27">
        <v>106</v>
      </c>
      <c r="C108" s="27" t="s">
        <v>644</v>
      </c>
      <c r="D108" s="27" t="s">
        <v>645</v>
      </c>
      <c r="E108" s="27" t="s">
        <v>31</v>
      </c>
      <c r="F108" s="27" t="s">
        <v>77</v>
      </c>
      <c r="G108" s="27" t="s">
        <v>127</v>
      </c>
      <c r="H108" s="40">
        <f ca="1">Tabel1[[#This Row],[KEHADIRAN]]/100</f>
        <v>0.82</v>
      </c>
    </row>
    <row r="109" spans="2:8" x14ac:dyDescent="0.25">
      <c r="B109" s="27">
        <v>107</v>
      </c>
      <c r="C109" s="27" t="s">
        <v>646</v>
      </c>
      <c r="D109" s="27" t="s">
        <v>647</v>
      </c>
      <c r="E109" s="27" t="s">
        <v>31</v>
      </c>
      <c r="F109" s="27" t="s">
        <v>219</v>
      </c>
      <c r="G109" s="27" t="s">
        <v>127</v>
      </c>
      <c r="H109" s="40">
        <f ca="1">Tabel1[[#This Row],[KEHADIRAN]]/100</f>
        <v>0.94</v>
      </c>
    </row>
    <row r="110" spans="2:8" x14ac:dyDescent="0.25">
      <c r="B110" s="27">
        <v>108</v>
      </c>
      <c r="C110" s="27" t="s">
        <v>648</v>
      </c>
      <c r="D110" s="27" t="s">
        <v>649</v>
      </c>
      <c r="E110" s="27" t="s">
        <v>31</v>
      </c>
      <c r="F110" s="27" t="s">
        <v>94</v>
      </c>
      <c r="G110" s="27" t="s">
        <v>177</v>
      </c>
      <c r="H110" s="40">
        <f ca="1">Tabel1[[#This Row],[KEHADIRAN]]/100</f>
        <v>0.95</v>
      </c>
    </row>
    <row r="111" spans="2:8" x14ac:dyDescent="0.25">
      <c r="B111" s="27">
        <v>109</v>
      </c>
      <c r="C111" s="27" t="s">
        <v>650</v>
      </c>
      <c r="D111" s="27" t="s">
        <v>651</v>
      </c>
      <c r="E111" s="27" t="s">
        <v>31</v>
      </c>
      <c r="F111" s="27" t="s">
        <v>94</v>
      </c>
      <c r="G111" s="27" t="s">
        <v>248</v>
      </c>
      <c r="H111" s="40">
        <f ca="1">Tabel1[[#This Row],[KEHADIRAN]]/100</f>
        <v>0.94</v>
      </c>
    </row>
    <row r="112" spans="2:8" x14ac:dyDescent="0.25">
      <c r="B112" s="27">
        <v>110</v>
      </c>
      <c r="C112" s="27" t="s">
        <v>652</v>
      </c>
      <c r="D112" s="27" t="s">
        <v>653</v>
      </c>
      <c r="E112" s="27" t="s">
        <v>31</v>
      </c>
      <c r="F112" s="27" t="s">
        <v>39</v>
      </c>
      <c r="G112" s="27" t="s">
        <v>416</v>
      </c>
      <c r="H112" s="40">
        <f ca="1">Tabel1[[#This Row],[KEHADIRAN]]/100</f>
        <v>0.92</v>
      </c>
    </row>
    <row r="113" spans="2:8" x14ac:dyDescent="0.25">
      <c r="B113" s="27">
        <v>111</v>
      </c>
      <c r="C113" s="27" t="s">
        <v>654</v>
      </c>
      <c r="D113" s="27" t="s">
        <v>655</v>
      </c>
      <c r="E113" s="27" t="s">
        <v>31</v>
      </c>
      <c r="F113" s="27" t="s">
        <v>94</v>
      </c>
      <c r="G113" s="27" t="s">
        <v>254</v>
      </c>
      <c r="H113" s="40">
        <f ca="1">Tabel1[[#This Row],[KEHADIRAN]]/100</f>
        <v>0.82</v>
      </c>
    </row>
    <row r="114" spans="2:8" x14ac:dyDescent="0.25">
      <c r="B114" s="27">
        <v>112</v>
      </c>
      <c r="C114" s="27" t="s">
        <v>656</v>
      </c>
      <c r="D114" s="27" t="s">
        <v>657</v>
      </c>
      <c r="E114" s="27" t="s">
        <v>19</v>
      </c>
      <c r="F114" s="27" t="s">
        <v>48</v>
      </c>
      <c r="G114" s="27" t="s">
        <v>658</v>
      </c>
      <c r="H114" s="40">
        <f ca="1">Tabel1[[#This Row],[KEHADIRAN]]/100</f>
        <v>0</v>
      </c>
    </row>
    <row r="115" spans="2:8" x14ac:dyDescent="0.25">
      <c r="B115" s="27">
        <v>113</v>
      </c>
      <c r="C115" s="27" t="s">
        <v>659</v>
      </c>
      <c r="D115" s="27" t="s">
        <v>660</v>
      </c>
      <c r="E115" s="27" t="s">
        <v>6</v>
      </c>
      <c r="F115" s="27" t="s">
        <v>8</v>
      </c>
      <c r="G115" s="27" t="s">
        <v>420</v>
      </c>
      <c r="H115" s="40">
        <f ca="1">Tabel1[[#This Row],[KEHADIRAN]]/100</f>
        <v>0</v>
      </c>
    </row>
    <row r="116" spans="2:8" x14ac:dyDescent="0.25">
      <c r="B116" s="27">
        <v>114</v>
      </c>
      <c r="C116" s="27" t="s">
        <v>661</v>
      </c>
      <c r="D116" s="27" t="s">
        <v>662</v>
      </c>
      <c r="E116" s="27" t="s">
        <v>31</v>
      </c>
      <c r="F116" s="27" t="s">
        <v>94</v>
      </c>
      <c r="G116" s="27" t="s">
        <v>113</v>
      </c>
      <c r="H116" s="40">
        <f ca="1">Tabel1[[#This Row],[KEHADIRAN]]/100</f>
        <v>0.86</v>
      </c>
    </row>
    <row r="117" spans="2:8" x14ac:dyDescent="0.25">
      <c r="B117" s="27">
        <v>115</v>
      </c>
      <c r="C117" s="27" t="s">
        <v>663</v>
      </c>
      <c r="D117" s="27" t="s">
        <v>664</v>
      </c>
      <c r="E117" s="27" t="s">
        <v>31</v>
      </c>
      <c r="F117" s="27" t="s">
        <v>26</v>
      </c>
      <c r="G117" s="27" t="s">
        <v>303</v>
      </c>
      <c r="H117" s="40">
        <f ca="1">Tabel1[[#This Row],[KEHADIRAN]]/100</f>
        <v>0.87</v>
      </c>
    </row>
    <row r="118" spans="2:8" x14ac:dyDescent="0.25">
      <c r="B118" s="27">
        <v>116</v>
      </c>
      <c r="C118" s="27" t="s">
        <v>665</v>
      </c>
      <c r="D118" s="27" t="s">
        <v>666</v>
      </c>
      <c r="E118" s="27" t="s">
        <v>31</v>
      </c>
      <c r="F118" s="27" t="s">
        <v>51</v>
      </c>
      <c r="G118" s="27" t="s">
        <v>89</v>
      </c>
      <c r="H118" s="40">
        <f ca="1">Tabel1[[#This Row],[KEHADIRAN]]/100</f>
        <v>0.86</v>
      </c>
    </row>
    <row r="119" spans="2:8" x14ac:dyDescent="0.25">
      <c r="B119" s="27">
        <v>117</v>
      </c>
      <c r="C119" s="27" t="s">
        <v>667</v>
      </c>
      <c r="D119" s="27" t="s">
        <v>668</v>
      </c>
      <c r="E119" s="27" t="s">
        <v>31</v>
      </c>
      <c r="F119" s="27" t="s">
        <v>26</v>
      </c>
      <c r="G119" s="27" t="s">
        <v>199</v>
      </c>
      <c r="H119" s="40">
        <f ca="1">Tabel1[[#This Row],[KEHADIRAN]]/100</f>
        <v>0.95</v>
      </c>
    </row>
    <row r="120" spans="2:8" x14ac:dyDescent="0.25">
      <c r="B120" s="27">
        <v>118</v>
      </c>
      <c r="C120" s="27" t="s">
        <v>669</v>
      </c>
      <c r="D120" s="27" t="s">
        <v>670</v>
      </c>
      <c r="E120" s="27" t="s">
        <v>31</v>
      </c>
      <c r="F120" s="27" t="s">
        <v>94</v>
      </c>
      <c r="G120" s="27" t="s">
        <v>151</v>
      </c>
      <c r="H120" s="40">
        <f ca="1">Tabel1[[#This Row],[KEHADIRAN]]/100</f>
        <v>0.87</v>
      </c>
    </row>
    <row r="121" spans="2:8" x14ac:dyDescent="0.25">
      <c r="B121" s="27">
        <v>119</v>
      </c>
      <c r="C121" s="27" t="s">
        <v>671</v>
      </c>
      <c r="D121" s="27" t="s">
        <v>672</v>
      </c>
      <c r="E121" s="27" t="s">
        <v>31</v>
      </c>
      <c r="F121" s="27" t="s">
        <v>94</v>
      </c>
      <c r="G121" s="27" t="s">
        <v>151</v>
      </c>
      <c r="H121" s="40">
        <f ca="1">Tabel1[[#This Row],[KEHADIRAN]]/100</f>
        <v>0.94</v>
      </c>
    </row>
    <row r="122" spans="2:8" x14ac:dyDescent="0.25">
      <c r="B122" s="27">
        <v>120</v>
      </c>
      <c r="C122" s="27" t="s">
        <v>673</v>
      </c>
      <c r="D122" s="27" t="s">
        <v>674</v>
      </c>
      <c r="E122" s="27" t="s">
        <v>31</v>
      </c>
      <c r="F122" s="27" t="s">
        <v>39</v>
      </c>
      <c r="G122" s="27" t="s">
        <v>141</v>
      </c>
      <c r="H122" s="40">
        <f ca="1">Tabel1[[#This Row],[KEHADIRAN]]/100</f>
        <v>0.9</v>
      </c>
    </row>
    <row r="123" spans="2:8" x14ac:dyDescent="0.25">
      <c r="B123" s="27">
        <v>121</v>
      </c>
      <c r="C123" s="27" t="s">
        <v>675</v>
      </c>
      <c r="D123" s="27" t="s">
        <v>676</v>
      </c>
      <c r="E123" s="27" t="s">
        <v>6</v>
      </c>
      <c r="F123" s="27" t="s">
        <v>27</v>
      </c>
      <c r="G123" s="27" t="s">
        <v>677</v>
      </c>
      <c r="H123" s="40">
        <f ca="1">Tabel1[[#This Row],[KEHADIRAN]]/100</f>
        <v>0.8</v>
      </c>
    </row>
    <row r="124" spans="2:8" x14ac:dyDescent="0.25">
      <c r="B124" s="27">
        <v>122</v>
      </c>
      <c r="C124" s="27" t="s">
        <v>678</v>
      </c>
      <c r="D124" s="27" t="s">
        <v>679</v>
      </c>
      <c r="E124" s="27" t="s">
        <v>31</v>
      </c>
      <c r="F124" s="27" t="s">
        <v>135</v>
      </c>
      <c r="G124" s="27" t="s">
        <v>174</v>
      </c>
      <c r="H124" s="40">
        <f ca="1">Tabel1[[#This Row],[KEHADIRAN]]/100</f>
        <v>0.85</v>
      </c>
    </row>
    <row r="125" spans="2:8" x14ac:dyDescent="0.25">
      <c r="B125" s="27">
        <v>123</v>
      </c>
      <c r="C125" s="27" t="s">
        <v>680</v>
      </c>
      <c r="D125" s="27" t="s">
        <v>681</v>
      </c>
      <c r="E125" s="27" t="s">
        <v>31</v>
      </c>
      <c r="F125" s="27" t="s">
        <v>94</v>
      </c>
      <c r="G125" s="27" t="s">
        <v>303</v>
      </c>
      <c r="H125" s="40">
        <f ca="1">Tabel1[[#This Row],[KEHADIRAN]]/100</f>
        <v>0.85</v>
      </c>
    </row>
    <row r="126" spans="2:8" x14ac:dyDescent="0.25">
      <c r="B126" s="27">
        <v>124</v>
      </c>
      <c r="C126" s="27" t="s">
        <v>682</v>
      </c>
      <c r="D126" s="27" t="s">
        <v>683</v>
      </c>
      <c r="E126" s="27" t="s">
        <v>19</v>
      </c>
      <c r="F126" s="27" t="s">
        <v>35</v>
      </c>
      <c r="G126" s="27" t="s">
        <v>684</v>
      </c>
      <c r="H126" s="40">
        <f ca="1">Tabel1[[#This Row],[KEHADIRAN]]/100</f>
        <v>0</v>
      </c>
    </row>
    <row r="127" spans="2:8" x14ac:dyDescent="0.25">
      <c r="B127" s="27">
        <v>125</v>
      </c>
      <c r="C127" s="27" t="s">
        <v>685</v>
      </c>
      <c r="D127" s="27" t="s">
        <v>686</v>
      </c>
      <c r="E127" s="27" t="s">
        <v>31</v>
      </c>
      <c r="F127" s="27" t="s">
        <v>39</v>
      </c>
      <c r="G127" s="27" t="s">
        <v>97</v>
      </c>
      <c r="H127" s="40">
        <f ca="1">Tabel1[[#This Row],[KEHADIRAN]]/100</f>
        <v>0.83</v>
      </c>
    </row>
    <row r="128" spans="2:8" x14ac:dyDescent="0.25">
      <c r="B128" s="27">
        <v>126</v>
      </c>
      <c r="C128" s="27" t="s">
        <v>687</v>
      </c>
      <c r="D128" s="27" t="s">
        <v>688</v>
      </c>
      <c r="E128" s="27" t="s">
        <v>31</v>
      </c>
      <c r="F128" s="27" t="s">
        <v>94</v>
      </c>
      <c r="G128" s="27" t="s">
        <v>298</v>
      </c>
      <c r="H128" s="40">
        <f ca="1">Tabel1[[#This Row],[KEHADIRAN]]/100</f>
        <v>0.93</v>
      </c>
    </row>
    <row r="129" spans="2:8" x14ac:dyDescent="0.25">
      <c r="B129" s="27">
        <v>127</v>
      </c>
      <c r="C129" s="27" t="s">
        <v>689</v>
      </c>
      <c r="D129" s="27" t="s">
        <v>690</v>
      </c>
      <c r="E129" s="27" t="s">
        <v>31</v>
      </c>
      <c r="F129" s="27" t="s">
        <v>94</v>
      </c>
      <c r="G129" s="27" t="s">
        <v>146</v>
      </c>
      <c r="H129" s="40">
        <f ca="1">Tabel1[[#This Row],[KEHADIRAN]]/100</f>
        <v>0.86</v>
      </c>
    </row>
    <row r="130" spans="2:8" x14ac:dyDescent="0.25">
      <c r="B130" s="27">
        <v>128</v>
      </c>
      <c r="C130" s="27" t="s">
        <v>691</v>
      </c>
      <c r="D130" s="27" t="s">
        <v>692</v>
      </c>
      <c r="E130" s="27" t="s">
        <v>31</v>
      </c>
      <c r="F130" s="27" t="s">
        <v>94</v>
      </c>
      <c r="G130" s="27" t="s">
        <v>139</v>
      </c>
      <c r="H130" s="40">
        <f ca="1">Tabel1[[#This Row],[KEHADIRAN]]/100</f>
        <v>0.8</v>
      </c>
    </row>
    <row r="131" spans="2:8" x14ac:dyDescent="0.25">
      <c r="B131" s="27">
        <v>129</v>
      </c>
      <c r="C131" s="27" t="s">
        <v>693</v>
      </c>
      <c r="D131" s="27" t="s">
        <v>694</v>
      </c>
      <c r="E131" s="27" t="s">
        <v>31</v>
      </c>
      <c r="F131" s="27" t="s">
        <v>94</v>
      </c>
      <c r="G131" s="27" t="s">
        <v>405</v>
      </c>
      <c r="H131" s="40">
        <f ca="1">Tabel1[[#This Row],[KEHADIRAN]]/100</f>
        <v>0.84</v>
      </c>
    </row>
    <row r="132" spans="2:8" x14ac:dyDescent="0.25">
      <c r="B132" s="27">
        <v>130</v>
      </c>
      <c r="C132" s="27" t="s">
        <v>695</v>
      </c>
      <c r="D132" s="27" t="s">
        <v>696</v>
      </c>
      <c r="E132" s="27" t="s">
        <v>31</v>
      </c>
      <c r="F132" s="27" t="s">
        <v>32</v>
      </c>
      <c r="G132" s="27" t="s">
        <v>293</v>
      </c>
      <c r="H132" s="40">
        <f ca="1">Tabel1[[#This Row],[KEHADIRAN]]/100</f>
        <v>0.95</v>
      </c>
    </row>
    <row r="133" spans="2:8" x14ac:dyDescent="0.25">
      <c r="B133" s="27">
        <v>131</v>
      </c>
      <c r="C133" s="27" t="s">
        <v>697</v>
      </c>
      <c r="D133" s="27" t="s">
        <v>698</v>
      </c>
      <c r="E133" s="27" t="s">
        <v>31</v>
      </c>
      <c r="F133" s="27" t="s">
        <v>39</v>
      </c>
      <c r="G133" s="27" t="s">
        <v>298</v>
      </c>
      <c r="H133" s="40">
        <f ca="1">Tabel1[[#This Row],[KEHADIRAN]]/100</f>
        <v>0.92</v>
      </c>
    </row>
    <row r="134" spans="2:8" x14ac:dyDescent="0.25">
      <c r="B134" s="27">
        <v>132</v>
      </c>
      <c r="C134" s="27" t="s">
        <v>699</v>
      </c>
      <c r="D134" s="27" t="s">
        <v>700</v>
      </c>
      <c r="E134" s="27" t="s">
        <v>31</v>
      </c>
      <c r="F134" s="27" t="s">
        <v>88</v>
      </c>
      <c r="G134" s="27" t="s">
        <v>158</v>
      </c>
      <c r="H134" s="40">
        <f ca="1">Tabel1[[#This Row],[KEHADIRAN]]/100</f>
        <v>0.88</v>
      </c>
    </row>
    <row r="135" spans="2:8" x14ac:dyDescent="0.25">
      <c r="B135" s="27">
        <v>133</v>
      </c>
      <c r="C135" s="27" t="s">
        <v>701</v>
      </c>
      <c r="D135" s="27" t="s">
        <v>702</v>
      </c>
      <c r="E135" s="27" t="s">
        <v>31</v>
      </c>
      <c r="F135" s="27" t="s">
        <v>88</v>
      </c>
      <c r="G135" s="27" t="s">
        <v>177</v>
      </c>
      <c r="H135" s="40">
        <f ca="1">Tabel1[[#This Row],[KEHADIRAN]]/100</f>
        <v>0.89</v>
      </c>
    </row>
    <row r="136" spans="2:8" x14ac:dyDescent="0.25">
      <c r="B136" s="27">
        <v>134</v>
      </c>
      <c r="C136" s="27" t="s">
        <v>703</v>
      </c>
      <c r="D136" s="27" t="s">
        <v>704</v>
      </c>
      <c r="E136" s="27" t="s">
        <v>31</v>
      </c>
      <c r="F136" s="27" t="s">
        <v>39</v>
      </c>
      <c r="G136" s="27" t="s">
        <v>298</v>
      </c>
      <c r="H136" s="40">
        <f ca="1">Tabel1[[#This Row],[KEHADIRAN]]/100</f>
        <v>0.86</v>
      </c>
    </row>
    <row r="137" spans="2:8" x14ac:dyDescent="0.25">
      <c r="B137" s="27">
        <v>135</v>
      </c>
      <c r="C137" s="27" t="s">
        <v>705</v>
      </c>
      <c r="D137" s="27" t="s">
        <v>706</v>
      </c>
      <c r="E137" s="27" t="s">
        <v>31</v>
      </c>
      <c r="F137" s="27" t="s">
        <v>77</v>
      </c>
      <c r="G137" s="27" t="s">
        <v>212</v>
      </c>
      <c r="H137" s="40">
        <f ca="1">Tabel1[[#This Row],[KEHADIRAN]]/100</f>
        <v>1</v>
      </c>
    </row>
    <row r="138" spans="2:8" x14ac:dyDescent="0.25">
      <c r="B138" s="27">
        <v>136</v>
      </c>
      <c r="C138" s="27" t="s">
        <v>707</v>
      </c>
      <c r="D138" s="27" t="s">
        <v>708</v>
      </c>
      <c r="E138" s="27" t="s">
        <v>31</v>
      </c>
      <c r="F138" s="27" t="s">
        <v>77</v>
      </c>
      <c r="G138" s="27" t="s">
        <v>332</v>
      </c>
      <c r="H138" s="40">
        <f ca="1">Tabel1[[#This Row],[KEHADIRAN]]/100</f>
        <v>0.96</v>
      </c>
    </row>
    <row r="139" spans="2:8" x14ac:dyDescent="0.25">
      <c r="B139" s="27">
        <v>137</v>
      </c>
      <c r="C139" s="27" t="s">
        <v>709</v>
      </c>
      <c r="D139" s="27" t="s">
        <v>710</v>
      </c>
      <c r="E139" s="27" t="s">
        <v>31</v>
      </c>
      <c r="F139" s="27" t="s">
        <v>223</v>
      </c>
      <c r="G139" s="27" t="s">
        <v>83</v>
      </c>
      <c r="H139" s="40">
        <f ca="1">Tabel1[[#This Row],[KEHADIRAN]]/100</f>
        <v>0.84</v>
      </c>
    </row>
    <row r="140" spans="2:8" x14ac:dyDescent="0.25">
      <c r="B140" s="27">
        <v>138</v>
      </c>
      <c r="C140" s="27" t="s">
        <v>711</v>
      </c>
      <c r="D140" s="27" t="s">
        <v>712</v>
      </c>
      <c r="E140" s="27" t="s">
        <v>31</v>
      </c>
      <c r="F140" s="27" t="s">
        <v>20</v>
      </c>
      <c r="G140" s="27" t="s">
        <v>220</v>
      </c>
      <c r="H140" s="40">
        <f ca="1">Tabel1[[#This Row],[KEHADIRAN]]/100</f>
        <v>0.86</v>
      </c>
    </row>
    <row r="141" spans="2:8" x14ac:dyDescent="0.25">
      <c r="B141" s="27">
        <v>139</v>
      </c>
      <c r="C141" s="27" t="s">
        <v>713</v>
      </c>
      <c r="D141" s="27" t="s">
        <v>714</v>
      </c>
      <c r="E141" s="27" t="s">
        <v>31</v>
      </c>
      <c r="F141" s="27" t="s">
        <v>77</v>
      </c>
      <c r="G141" s="27" t="s">
        <v>269</v>
      </c>
      <c r="H141" s="40">
        <f ca="1">Tabel1[[#This Row],[KEHADIRAN]]/100</f>
        <v>0.81</v>
      </c>
    </row>
    <row r="142" spans="2:8" x14ac:dyDescent="0.25">
      <c r="B142" s="27">
        <v>140</v>
      </c>
      <c r="C142" s="27" t="s">
        <v>715</v>
      </c>
      <c r="D142" s="27" t="s">
        <v>716</v>
      </c>
      <c r="E142" s="27" t="s">
        <v>31</v>
      </c>
      <c r="F142" s="27" t="s">
        <v>238</v>
      </c>
      <c r="G142" s="27" t="s">
        <v>476</v>
      </c>
      <c r="H142" s="40">
        <f ca="1">Tabel1[[#This Row],[KEHADIRAN]]/100</f>
        <v>0.81</v>
      </c>
    </row>
    <row r="143" spans="2:8" x14ac:dyDescent="0.25">
      <c r="B143" s="27">
        <v>141</v>
      </c>
      <c r="C143" s="27" t="s">
        <v>717</v>
      </c>
      <c r="D143" s="27" t="s">
        <v>718</v>
      </c>
      <c r="E143" s="27" t="s">
        <v>31</v>
      </c>
      <c r="F143" s="27" t="s">
        <v>94</v>
      </c>
      <c r="G143" s="27" t="s">
        <v>410</v>
      </c>
      <c r="H143" s="40">
        <f ca="1">Tabel1[[#This Row],[KEHADIRAN]]/100</f>
        <v>0.9</v>
      </c>
    </row>
    <row r="144" spans="2:8" x14ac:dyDescent="0.25">
      <c r="B144" s="27">
        <v>142</v>
      </c>
      <c r="C144" s="27" t="s">
        <v>719</v>
      </c>
      <c r="D144" s="27" t="s">
        <v>720</v>
      </c>
      <c r="E144" s="27" t="s">
        <v>31</v>
      </c>
      <c r="F144" s="27" t="s">
        <v>70</v>
      </c>
      <c r="G144" s="27" t="s">
        <v>323</v>
      </c>
      <c r="H144" s="40">
        <f ca="1">Tabel1[[#This Row],[KEHADIRAN]]/100</f>
        <v>0.99</v>
      </c>
    </row>
    <row r="145" spans="2:8" x14ac:dyDescent="0.25">
      <c r="B145" s="27">
        <v>143</v>
      </c>
      <c r="C145" s="27" t="s">
        <v>721</v>
      </c>
      <c r="D145" s="27" t="s">
        <v>722</v>
      </c>
      <c r="E145" s="27" t="s">
        <v>31</v>
      </c>
      <c r="F145" s="27" t="s">
        <v>39</v>
      </c>
      <c r="G145" s="27" t="s">
        <v>36</v>
      </c>
      <c r="H145" s="40">
        <f ca="1">Tabel1[[#This Row],[KEHADIRAN]]/100</f>
        <v>0.87</v>
      </c>
    </row>
    <row r="146" spans="2:8" x14ac:dyDescent="0.25">
      <c r="B146" s="27">
        <v>144</v>
      </c>
      <c r="C146" s="27" t="s">
        <v>723</v>
      </c>
      <c r="D146" s="27" t="s">
        <v>724</v>
      </c>
      <c r="E146" s="27" t="s">
        <v>31</v>
      </c>
      <c r="F146" s="27" t="s">
        <v>70</v>
      </c>
      <c r="G146" s="27" t="s">
        <v>117</v>
      </c>
      <c r="H146" s="40">
        <f ca="1">Tabel1[[#This Row],[KEHADIRAN]]/100</f>
        <v>0.91</v>
      </c>
    </row>
    <row r="147" spans="2:8" x14ac:dyDescent="0.25">
      <c r="B147" s="27">
        <v>145</v>
      </c>
      <c r="C147" s="27" t="s">
        <v>725</v>
      </c>
      <c r="D147" s="27" t="s">
        <v>726</v>
      </c>
      <c r="E147" s="27" t="s">
        <v>31</v>
      </c>
      <c r="F147" s="27" t="s">
        <v>236</v>
      </c>
      <c r="G147" s="27" t="s">
        <v>303</v>
      </c>
      <c r="H147" s="40">
        <f ca="1">Tabel1[[#This Row],[KEHADIRAN]]/100</f>
        <v>0.97</v>
      </c>
    </row>
    <row r="148" spans="2:8" x14ac:dyDescent="0.25">
      <c r="B148" s="27">
        <v>146</v>
      </c>
      <c r="C148" s="27" t="s">
        <v>727</v>
      </c>
      <c r="D148" s="27" t="s">
        <v>728</v>
      </c>
      <c r="E148" s="27" t="s">
        <v>31</v>
      </c>
      <c r="F148" s="27" t="s">
        <v>135</v>
      </c>
      <c r="G148" s="27" t="s">
        <v>288</v>
      </c>
      <c r="H148" s="40">
        <f ca="1">Tabel1[[#This Row],[KEHADIRAN]]/100</f>
        <v>0.97</v>
      </c>
    </row>
    <row r="149" spans="2:8" x14ac:dyDescent="0.25">
      <c r="B149" s="27">
        <v>147</v>
      </c>
      <c r="C149" s="27" t="s">
        <v>729</v>
      </c>
      <c r="D149" s="27" t="s">
        <v>730</v>
      </c>
      <c r="E149" s="27" t="s">
        <v>31</v>
      </c>
      <c r="F149" s="27" t="s">
        <v>94</v>
      </c>
      <c r="G149" s="27" t="s">
        <v>141</v>
      </c>
      <c r="H149" s="40">
        <f ca="1">Tabel1[[#This Row],[KEHADIRAN]]/100</f>
        <v>0.99</v>
      </c>
    </row>
    <row r="150" spans="2:8" x14ac:dyDescent="0.25">
      <c r="B150" s="27">
        <v>148</v>
      </c>
      <c r="C150" s="27" t="s">
        <v>731</v>
      </c>
      <c r="D150" s="27" t="s">
        <v>732</v>
      </c>
      <c r="E150" s="27" t="s">
        <v>31</v>
      </c>
      <c r="F150" s="27" t="s">
        <v>135</v>
      </c>
      <c r="G150" s="27" t="s">
        <v>733</v>
      </c>
      <c r="H150" s="40">
        <f ca="1">Tabel1[[#This Row],[KEHADIRAN]]/100</f>
        <v>0.86</v>
      </c>
    </row>
    <row r="151" spans="2:8" x14ac:dyDescent="0.25">
      <c r="B151" s="27">
        <v>149</v>
      </c>
      <c r="C151" s="27" t="s">
        <v>734</v>
      </c>
      <c r="D151" s="27" t="s">
        <v>735</v>
      </c>
      <c r="E151" s="27" t="s">
        <v>19</v>
      </c>
      <c r="F151" s="27" t="s">
        <v>82</v>
      </c>
      <c r="G151" s="27" t="s">
        <v>736</v>
      </c>
      <c r="H151" s="40">
        <f ca="1">Tabel1[[#This Row],[KEHADIRAN]]/100</f>
        <v>0</v>
      </c>
    </row>
    <row r="152" spans="2:8" x14ac:dyDescent="0.25">
      <c r="B152" s="27">
        <v>150</v>
      </c>
      <c r="C152" s="27" t="s">
        <v>737</v>
      </c>
      <c r="D152" s="27" t="s">
        <v>738</v>
      </c>
      <c r="E152" s="27" t="s">
        <v>6</v>
      </c>
      <c r="F152" s="27" t="s">
        <v>21</v>
      </c>
      <c r="G152" s="27" t="s">
        <v>149</v>
      </c>
      <c r="H152" s="40">
        <f ca="1">Tabel1[[#This Row],[KEHADIRAN]]/100</f>
        <v>0</v>
      </c>
    </row>
    <row r="153" spans="2:8" x14ac:dyDescent="0.25">
      <c r="B153" s="27">
        <v>151</v>
      </c>
      <c r="C153" s="27" t="s">
        <v>739</v>
      </c>
      <c r="D153" s="27" t="s">
        <v>740</v>
      </c>
      <c r="E153" s="27" t="s">
        <v>31</v>
      </c>
      <c r="F153" s="27" t="s">
        <v>77</v>
      </c>
      <c r="G153" s="27" t="s">
        <v>127</v>
      </c>
      <c r="H153" s="40">
        <f ca="1">Tabel1[[#This Row],[KEHADIRAN]]/100</f>
        <v>0.84</v>
      </c>
    </row>
    <row r="154" spans="2:8" x14ac:dyDescent="0.25">
      <c r="B154" s="27">
        <v>152</v>
      </c>
      <c r="C154" s="27" t="s">
        <v>741</v>
      </c>
      <c r="D154" s="27" t="s">
        <v>742</v>
      </c>
      <c r="E154" s="27" t="s">
        <v>31</v>
      </c>
      <c r="F154" s="27" t="s">
        <v>32</v>
      </c>
      <c r="G154" s="27" t="s">
        <v>132</v>
      </c>
      <c r="H154" s="40">
        <f ca="1">Tabel1[[#This Row],[KEHADIRAN]]/100</f>
        <v>0.98</v>
      </c>
    </row>
    <row r="155" spans="2:8" x14ac:dyDescent="0.25">
      <c r="B155" s="27">
        <v>153</v>
      </c>
      <c r="C155" s="27" t="s">
        <v>743</v>
      </c>
      <c r="D155" s="27" t="s">
        <v>744</v>
      </c>
      <c r="E155" s="27" t="s">
        <v>31</v>
      </c>
      <c r="F155" s="27" t="s">
        <v>223</v>
      </c>
      <c r="G155" s="27" t="s">
        <v>113</v>
      </c>
      <c r="H155" s="40">
        <f ca="1">Tabel1[[#This Row],[KEHADIRAN]]/100</f>
        <v>0.81</v>
      </c>
    </row>
    <row r="156" spans="2:8" x14ac:dyDescent="0.25">
      <c r="B156" s="27">
        <v>154</v>
      </c>
      <c r="C156" s="27" t="s">
        <v>745</v>
      </c>
      <c r="D156" s="27" t="s">
        <v>276</v>
      </c>
      <c r="E156" s="27" t="s">
        <v>31</v>
      </c>
      <c r="F156" s="27" t="s">
        <v>32</v>
      </c>
      <c r="G156" s="27" t="s">
        <v>169</v>
      </c>
      <c r="H156" s="40">
        <f ca="1">Tabel1[[#This Row],[KEHADIRAN]]/100</f>
        <v>0.99</v>
      </c>
    </row>
    <row r="157" spans="2:8" x14ac:dyDescent="0.25">
      <c r="B157" s="27">
        <v>155</v>
      </c>
      <c r="C157" s="27" t="s">
        <v>746</v>
      </c>
      <c r="D157" s="27" t="s">
        <v>747</v>
      </c>
      <c r="E157" s="27" t="s">
        <v>31</v>
      </c>
      <c r="F157" s="27" t="s">
        <v>26</v>
      </c>
      <c r="G157" s="27" t="s">
        <v>137</v>
      </c>
      <c r="H157" s="40">
        <f ca="1">Tabel1[[#This Row],[KEHADIRAN]]/100</f>
        <v>0.93</v>
      </c>
    </row>
    <row r="158" spans="2:8" x14ac:dyDescent="0.25">
      <c r="B158" s="27">
        <v>156</v>
      </c>
      <c r="C158" s="27" t="s">
        <v>748</v>
      </c>
      <c r="D158" s="27" t="s">
        <v>749</v>
      </c>
      <c r="E158" s="27" t="s">
        <v>31</v>
      </c>
      <c r="F158" s="27" t="s">
        <v>32</v>
      </c>
      <c r="G158" s="27" t="s">
        <v>403</v>
      </c>
      <c r="H158" s="40">
        <f ca="1">Tabel1[[#This Row],[KEHADIRAN]]/100</f>
        <v>0.89</v>
      </c>
    </row>
    <row r="159" spans="2:8" x14ac:dyDescent="0.25">
      <c r="B159" s="27">
        <v>157</v>
      </c>
      <c r="C159" s="27" t="s">
        <v>750</v>
      </c>
      <c r="D159" s="27" t="s">
        <v>751</v>
      </c>
      <c r="E159" s="27" t="s">
        <v>31</v>
      </c>
      <c r="F159" s="27" t="s">
        <v>53</v>
      </c>
      <c r="G159" s="27" t="s">
        <v>62</v>
      </c>
      <c r="H159" s="40">
        <f ca="1">Tabel1[[#This Row],[KEHADIRAN]]/100</f>
        <v>0.84</v>
      </c>
    </row>
    <row r="160" spans="2:8" x14ac:dyDescent="0.25">
      <c r="B160" s="27">
        <v>158</v>
      </c>
      <c r="C160" s="27" t="s">
        <v>752</v>
      </c>
      <c r="D160" s="27" t="s">
        <v>753</v>
      </c>
      <c r="E160" s="27" t="s">
        <v>31</v>
      </c>
      <c r="F160" s="27" t="s">
        <v>26</v>
      </c>
      <c r="G160" s="27" t="s">
        <v>111</v>
      </c>
      <c r="H160" s="40">
        <f ca="1">Tabel1[[#This Row],[KEHADIRAN]]/100</f>
        <v>0.81</v>
      </c>
    </row>
    <row r="161" spans="2:8" x14ac:dyDescent="0.25">
      <c r="B161" s="27">
        <v>159</v>
      </c>
      <c r="C161" s="27" t="s">
        <v>754</v>
      </c>
      <c r="D161" s="27" t="s">
        <v>755</v>
      </c>
      <c r="E161" s="27" t="s">
        <v>19</v>
      </c>
      <c r="F161" s="27">
        <v>0</v>
      </c>
      <c r="G161" s="27" t="s">
        <v>756</v>
      </c>
      <c r="H161" s="40">
        <f ca="1">Tabel1[[#This Row],[KEHADIRAN]]/100</f>
        <v>0</v>
      </c>
    </row>
    <row r="162" spans="2:8" x14ac:dyDescent="0.25">
      <c r="B162" s="27">
        <v>160</v>
      </c>
      <c r="C162" s="27" t="s">
        <v>757</v>
      </c>
      <c r="D162" s="27" t="s">
        <v>406</v>
      </c>
      <c r="E162" s="27" t="s">
        <v>31</v>
      </c>
      <c r="F162" s="27" t="s">
        <v>32</v>
      </c>
      <c r="G162" s="27" t="s">
        <v>416</v>
      </c>
      <c r="H162" s="40">
        <f ca="1">Tabel1[[#This Row],[KEHADIRAN]]/100</f>
        <v>0.88</v>
      </c>
    </row>
    <row r="163" spans="2:8" x14ac:dyDescent="0.25">
      <c r="B163" s="27">
        <v>161</v>
      </c>
      <c r="C163" s="27" t="s">
        <v>758</v>
      </c>
      <c r="D163" s="27" t="s">
        <v>759</v>
      </c>
      <c r="E163" s="27" t="s">
        <v>31</v>
      </c>
      <c r="F163" s="27" t="s">
        <v>223</v>
      </c>
      <c r="G163" s="27" t="s">
        <v>119</v>
      </c>
      <c r="H163" s="40">
        <f ca="1">Tabel1[[#This Row],[KEHADIRAN]]/100</f>
        <v>0.88</v>
      </c>
    </row>
    <row r="164" spans="2:8" x14ac:dyDescent="0.25">
      <c r="B164" s="27">
        <v>162</v>
      </c>
      <c r="C164" s="27" t="s">
        <v>760</v>
      </c>
      <c r="D164" s="27" t="s">
        <v>761</v>
      </c>
      <c r="E164" s="27" t="s">
        <v>31</v>
      </c>
      <c r="F164" s="27" t="s">
        <v>32</v>
      </c>
      <c r="G164" s="27" t="s">
        <v>416</v>
      </c>
      <c r="H164" s="40">
        <f ca="1">Tabel1[[#This Row],[KEHADIRAN]]/100</f>
        <v>0.89</v>
      </c>
    </row>
    <row r="165" spans="2:8" x14ac:dyDescent="0.25">
      <c r="B165" s="27">
        <v>163</v>
      </c>
      <c r="C165" s="27" t="s">
        <v>762</v>
      </c>
      <c r="D165" s="27" t="s">
        <v>763</v>
      </c>
      <c r="E165" s="27" t="s">
        <v>31</v>
      </c>
      <c r="F165" s="27" t="s">
        <v>32</v>
      </c>
      <c r="G165" s="27" t="s">
        <v>271</v>
      </c>
      <c r="H165" s="40">
        <f ca="1">Tabel1[[#This Row],[KEHADIRAN]]/100</f>
        <v>0.8</v>
      </c>
    </row>
    <row r="166" spans="2:8" x14ac:dyDescent="0.25">
      <c r="B166" s="27">
        <v>164</v>
      </c>
      <c r="C166" s="27" t="s">
        <v>764</v>
      </c>
      <c r="D166" s="27" t="s">
        <v>765</v>
      </c>
      <c r="E166" s="27" t="s">
        <v>31</v>
      </c>
      <c r="F166" s="27" t="s">
        <v>219</v>
      </c>
      <c r="G166" s="27" t="s">
        <v>121</v>
      </c>
      <c r="H166" s="40">
        <f ca="1">Tabel1[[#This Row],[KEHADIRAN]]/100</f>
        <v>0.99</v>
      </c>
    </row>
    <row r="167" spans="2:8" x14ac:dyDescent="0.25">
      <c r="B167" s="27">
        <v>165</v>
      </c>
      <c r="C167" s="27" t="s">
        <v>766</v>
      </c>
      <c r="D167" s="27" t="s">
        <v>767</v>
      </c>
      <c r="E167" s="27" t="s">
        <v>31</v>
      </c>
      <c r="F167" s="27" t="s">
        <v>26</v>
      </c>
      <c r="G167" s="27" t="s">
        <v>151</v>
      </c>
      <c r="H167" s="40">
        <f ca="1">Tabel1[[#This Row],[KEHADIRAN]]/100</f>
        <v>0.88</v>
      </c>
    </row>
    <row r="168" spans="2:8" x14ac:dyDescent="0.25">
      <c r="B168" s="27">
        <v>166</v>
      </c>
      <c r="C168" s="27" t="s">
        <v>768</v>
      </c>
      <c r="D168" s="27" t="s">
        <v>769</v>
      </c>
      <c r="E168" s="27" t="s">
        <v>31</v>
      </c>
      <c r="F168" s="27" t="s">
        <v>26</v>
      </c>
      <c r="G168" s="27" t="s">
        <v>139</v>
      </c>
      <c r="H168" s="40">
        <f ca="1">Tabel1[[#This Row],[KEHADIRAN]]/100</f>
        <v>0.98</v>
      </c>
    </row>
    <row r="169" spans="2:8" x14ac:dyDescent="0.25">
      <c r="B169" s="27">
        <v>167</v>
      </c>
      <c r="C169" s="27" t="s">
        <v>770</v>
      </c>
      <c r="D169" s="27" t="s">
        <v>771</v>
      </c>
      <c r="E169" s="27" t="s">
        <v>31</v>
      </c>
      <c r="F169" s="27" t="s">
        <v>32</v>
      </c>
      <c r="G169" s="27" t="s">
        <v>130</v>
      </c>
      <c r="H169" s="40">
        <f ca="1">Tabel1[[#This Row],[KEHADIRAN]]/100</f>
        <v>0.82</v>
      </c>
    </row>
    <row r="170" spans="2:8" x14ac:dyDescent="0.25">
      <c r="B170" s="27">
        <v>168</v>
      </c>
      <c r="C170" s="27" t="s">
        <v>772</v>
      </c>
      <c r="D170" s="27" t="s">
        <v>773</v>
      </c>
      <c r="E170" s="27" t="s">
        <v>31</v>
      </c>
      <c r="F170" s="27" t="s">
        <v>53</v>
      </c>
      <c r="G170" s="27" t="s">
        <v>143</v>
      </c>
      <c r="H170" s="40">
        <f ca="1">Tabel1[[#This Row],[KEHADIRAN]]/100</f>
        <v>0.89</v>
      </c>
    </row>
    <row r="171" spans="2:8" x14ac:dyDescent="0.25">
      <c r="B171" s="27">
        <v>169</v>
      </c>
      <c r="C171" s="27" t="s">
        <v>774</v>
      </c>
      <c r="D171" s="27" t="s">
        <v>775</v>
      </c>
      <c r="E171" s="27" t="s">
        <v>31</v>
      </c>
      <c r="F171" s="27" t="s">
        <v>26</v>
      </c>
      <c r="G171" s="27" t="s">
        <v>248</v>
      </c>
      <c r="H171" s="40">
        <f ca="1">Tabel1[[#This Row],[KEHADIRAN]]/100</f>
        <v>0.84</v>
      </c>
    </row>
    <row r="172" spans="2:8" x14ac:dyDescent="0.25">
      <c r="B172" s="27">
        <v>170</v>
      </c>
      <c r="C172" s="27" t="s">
        <v>776</v>
      </c>
      <c r="D172" s="27" t="s">
        <v>777</v>
      </c>
      <c r="E172" s="27" t="s">
        <v>31</v>
      </c>
      <c r="F172" s="27" t="s">
        <v>32</v>
      </c>
      <c r="G172" s="27" t="s">
        <v>403</v>
      </c>
      <c r="H172" s="40">
        <f ca="1">Tabel1[[#This Row],[KEHADIRAN]]/100</f>
        <v>0.91</v>
      </c>
    </row>
    <row r="173" spans="2:8" x14ac:dyDescent="0.25">
      <c r="B173" s="27">
        <v>171</v>
      </c>
      <c r="C173" s="27" t="s">
        <v>778</v>
      </c>
      <c r="D173" s="27" t="s">
        <v>779</v>
      </c>
      <c r="E173" s="27" t="s">
        <v>31</v>
      </c>
      <c r="F173" s="27" t="s">
        <v>26</v>
      </c>
      <c r="G173" s="27" t="s">
        <v>141</v>
      </c>
      <c r="H173" s="40">
        <f ca="1">Tabel1[[#This Row],[KEHADIRAN]]/100</f>
        <v>0.89</v>
      </c>
    </row>
    <row r="174" spans="2:8" x14ac:dyDescent="0.25">
      <c r="B174" s="27">
        <v>172</v>
      </c>
      <c r="C174" s="27" t="s">
        <v>780</v>
      </c>
      <c r="D174" s="27" t="s">
        <v>781</v>
      </c>
      <c r="E174" s="27" t="s">
        <v>31</v>
      </c>
      <c r="F174" s="27" t="s">
        <v>26</v>
      </c>
      <c r="G174" s="27" t="s">
        <v>169</v>
      </c>
      <c r="H174" s="40">
        <f ca="1">Tabel1[[#This Row],[KEHADIRAN]]/100</f>
        <v>0.81</v>
      </c>
    </row>
    <row r="175" spans="2:8" x14ac:dyDescent="0.25">
      <c r="B175" s="27">
        <v>173</v>
      </c>
      <c r="C175" s="27" t="s">
        <v>782</v>
      </c>
      <c r="D175" s="27" t="s">
        <v>783</v>
      </c>
      <c r="E175" s="27" t="s">
        <v>31</v>
      </c>
      <c r="F175" s="27" t="s">
        <v>32</v>
      </c>
      <c r="G175" s="27" t="s">
        <v>122</v>
      </c>
      <c r="H175" s="40">
        <f ca="1">Tabel1[[#This Row],[KEHADIRAN]]/100</f>
        <v>0.98</v>
      </c>
    </row>
    <row r="176" spans="2:8" x14ac:dyDescent="0.25">
      <c r="B176" s="27">
        <v>174</v>
      </c>
      <c r="C176" s="27" t="s">
        <v>784</v>
      </c>
      <c r="D176" s="27" t="s">
        <v>785</v>
      </c>
      <c r="E176" s="27" t="s">
        <v>31</v>
      </c>
      <c r="F176" s="27" t="s">
        <v>26</v>
      </c>
      <c r="G176" s="27" t="s">
        <v>130</v>
      </c>
      <c r="H176" s="40">
        <f ca="1">Tabel1[[#This Row],[KEHADIRAN]]/100</f>
        <v>0.9</v>
      </c>
    </row>
    <row r="177" spans="2:8" x14ac:dyDescent="0.25">
      <c r="B177" s="27">
        <v>175</v>
      </c>
      <c r="C177" s="27" t="s">
        <v>786</v>
      </c>
      <c r="D177" s="27" t="s">
        <v>787</v>
      </c>
      <c r="E177" s="27" t="s">
        <v>31</v>
      </c>
      <c r="F177" s="27" t="s">
        <v>32</v>
      </c>
      <c r="G177" s="27" t="s">
        <v>143</v>
      </c>
      <c r="H177" s="40">
        <f ca="1">Tabel1[[#This Row],[KEHADIRAN]]/100</f>
        <v>0.82</v>
      </c>
    </row>
    <row r="178" spans="2:8" x14ac:dyDescent="0.25">
      <c r="B178" s="27">
        <v>176</v>
      </c>
      <c r="C178" s="27" t="s">
        <v>788</v>
      </c>
      <c r="D178" s="27" t="s">
        <v>789</v>
      </c>
      <c r="E178" s="27" t="s">
        <v>31</v>
      </c>
      <c r="F178" s="27" t="s">
        <v>26</v>
      </c>
      <c r="G178" s="27" t="s">
        <v>132</v>
      </c>
      <c r="H178" s="40">
        <f ca="1">Tabel1[[#This Row],[KEHADIRAN]]/100</f>
        <v>0.87</v>
      </c>
    </row>
    <row r="179" spans="2:8" x14ac:dyDescent="0.25">
      <c r="B179" s="27">
        <v>177</v>
      </c>
      <c r="C179" s="27" t="s">
        <v>790</v>
      </c>
      <c r="D179" s="27" t="s">
        <v>262</v>
      </c>
      <c r="E179" s="27" t="s">
        <v>31</v>
      </c>
      <c r="F179" s="27" t="s">
        <v>26</v>
      </c>
      <c r="G179" s="27" t="s">
        <v>416</v>
      </c>
      <c r="H179" s="40">
        <f ca="1">Tabel1[[#This Row],[KEHADIRAN]]/100</f>
        <v>0.92</v>
      </c>
    </row>
    <row r="180" spans="2:8" x14ac:dyDescent="0.25">
      <c r="B180" s="27">
        <v>178</v>
      </c>
      <c r="C180" s="27" t="s">
        <v>791</v>
      </c>
      <c r="D180" s="27" t="s">
        <v>792</v>
      </c>
      <c r="E180" s="27" t="s">
        <v>31</v>
      </c>
      <c r="F180" s="27" t="s">
        <v>32</v>
      </c>
      <c r="G180" s="27" t="s">
        <v>62</v>
      </c>
      <c r="H180" s="40">
        <f ca="1">Tabel1[[#This Row],[KEHADIRAN]]/100</f>
        <v>0.99</v>
      </c>
    </row>
    <row r="181" spans="2:8" x14ac:dyDescent="0.25">
      <c r="B181" s="27">
        <v>179</v>
      </c>
      <c r="C181" s="27" t="s">
        <v>793</v>
      </c>
      <c r="D181" s="27" t="s">
        <v>794</v>
      </c>
      <c r="E181" s="27" t="s">
        <v>31</v>
      </c>
      <c r="F181" s="27" t="s">
        <v>26</v>
      </c>
      <c r="G181" s="27" t="s">
        <v>119</v>
      </c>
      <c r="H181" s="40">
        <f ca="1">Tabel1[[#This Row],[KEHADIRAN]]/100</f>
        <v>0.94</v>
      </c>
    </row>
    <row r="182" spans="2:8" x14ac:dyDescent="0.25">
      <c r="B182" s="27">
        <v>180</v>
      </c>
      <c r="C182" s="27" t="s">
        <v>795</v>
      </c>
      <c r="D182" s="27" t="s">
        <v>796</v>
      </c>
      <c r="E182" s="27" t="s">
        <v>31</v>
      </c>
      <c r="F182" s="27" t="s">
        <v>32</v>
      </c>
      <c r="G182" s="27" t="s">
        <v>412</v>
      </c>
      <c r="H182" s="40">
        <f ca="1">Tabel1[[#This Row],[KEHADIRAN]]/100</f>
        <v>0.94</v>
      </c>
    </row>
    <row r="183" spans="2:8" x14ac:dyDescent="0.25">
      <c r="B183" s="27">
        <v>181</v>
      </c>
      <c r="C183" s="27" t="s">
        <v>797</v>
      </c>
      <c r="D183" s="27" t="s">
        <v>798</v>
      </c>
      <c r="E183" s="27" t="s">
        <v>31</v>
      </c>
      <c r="F183" s="27" t="s">
        <v>51</v>
      </c>
      <c r="G183" s="27" t="s">
        <v>342</v>
      </c>
      <c r="H183" s="40">
        <f ca="1">Tabel1[[#This Row],[KEHADIRAN]]/100</f>
        <v>0.9</v>
      </c>
    </row>
    <row r="184" spans="2:8" x14ac:dyDescent="0.25">
      <c r="B184" s="27">
        <v>182</v>
      </c>
      <c r="C184" s="27" t="s">
        <v>799</v>
      </c>
      <c r="D184" s="27" t="s">
        <v>800</v>
      </c>
      <c r="E184" s="27" t="s">
        <v>31</v>
      </c>
      <c r="F184" s="27" t="s">
        <v>32</v>
      </c>
      <c r="G184" s="27" t="s">
        <v>332</v>
      </c>
      <c r="H184" s="40">
        <f ca="1">Tabel1[[#This Row],[KEHADIRAN]]/100</f>
        <v>0.95</v>
      </c>
    </row>
    <row r="185" spans="2:8" x14ac:dyDescent="0.25">
      <c r="B185" s="27">
        <v>183</v>
      </c>
      <c r="C185" s="27" t="s">
        <v>801</v>
      </c>
      <c r="D185" s="27" t="s">
        <v>406</v>
      </c>
      <c r="E185" s="27" t="s">
        <v>31</v>
      </c>
      <c r="F185" s="27" t="s">
        <v>32</v>
      </c>
      <c r="G185" s="27" t="s">
        <v>122</v>
      </c>
      <c r="H185" s="40">
        <f ca="1">Tabel1[[#This Row],[KEHADIRAN]]/100</f>
        <v>0.92</v>
      </c>
    </row>
    <row r="186" spans="2:8" x14ac:dyDescent="0.25">
      <c r="B186" s="27">
        <v>184</v>
      </c>
      <c r="C186" s="27" t="s">
        <v>802</v>
      </c>
      <c r="D186" s="27" t="s">
        <v>803</v>
      </c>
      <c r="E186" s="27" t="s">
        <v>31</v>
      </c>
      <c r="F186" s="27" t="s">
        <v>32</v>
      </c>
      <c r="G186" s="27" t="s">
        <v>139</v>
      </c>
      <c r="H186" s="40">
        <f ca="1">Tabel1[[#This Row],[KEHADIRAN]]/100</f>
        <v>0.9</v>
      </c>
    </row>
    <row r="187" spans="2:8" x14ac:dyDescent="0.25">
      <c r="B187" s="27">
        <v>185</v>
      </c>
      <c r="C187" s="27" t="s">
        <v>804</v>
      </c>
      <c r="D187" s="27" t="s">
        <v>805</v>
      </c>
      <c r="E187" s="27" t="s">
        <v>31</v>
      </c>
      <c r="F187" s="27" t="s">
        <v>26</v>
      </c>
      <c r="G187" s="27" t="s">
        <v>403</v>
      </c>
      <c r="H187" s="40">
        <f ca="1">Tabel1[[#This Row],[KEHADIRAN]]/100</f>
        <v>0.89</v>
      </c>
    </row>
    <row r="188" spans="2:8" x14ac:dyDescent="0.25">
      <c r="B188" s="27">
        <v>186</v>
      </c>
      <c r="C188" s="27" t="s">
        <v>806</v>
      </c>
      <c r="D188" s="27" t="s">
        <v>807</v>
      </c>
      <c r="E188" s="27" t="s">
        <v>31</v>
      </c>
      <c r="F188" s="27" t="s">
        <v>26</v>
      </c>
      <c r="G188" s="27" t="s">
        <v>404</v>
      </c>
      <c r="H188" s="40">
        <f ca="1">Tabel1[[#This Row],[KEHADIRAN]]/100</f>
        <v>0.98</v>
      </c>
    </row>
    <row r="189" spans="2:8" x14ac:dyDescent="0.25">
      <c r="B189" s="27">
        <v>187</v>
      </c>
      <c r="C189" s="27" t="s">
        <v>808</v>
      </c>
      <c r="D189" s="27" t="s">
        <v>809</v>
      </c>
      <c r="E189" s="27" t="s">
        <v>31</v>
      </c>
      <c r="F189" s="27" t="s">
        <v>26</v>
      </c>
      <c r="G189" s="27" t="s">
        <v>143</v>
      </c>
      <c r="H189" s="40">
        <f ca="1">Tabel1[[#This Row],[KEHADIRAN]]/100</f>
        <v>0.83</v>
      </c>
    </row>
    <row r="190" spans="2:8" x14ac:dyDescent="0.25">
      <c r="B190" s="27">
        <v>188</v>
      </c>
      <c r="C190" s="27" t="s">
        <v>810</v>
      </c>
      <c r="D190" s="27" t="s">
        <v>811</v>
      </c>
      <c r="E190" s="27" t="s">
        <v>31</v>
      </c>
      <c r="F190" s="27" t="s">
        <v>26</v>
      </c>
      <c r="G190" s="27" t="s">
        <v>122</v>
      </c>
      <c r="H190" s="40">
        <f ca="1">Tabel1[[#This Row],[KEHADIRAN]]/100</f>
        <v>0.93</v>
      </c>
    </row>
    <row r="191" spans="2:8" x14ac:dyDescent="0.25">
      <c r="B191" s="27">
        <v>189</v>
      </c>
      <c r="C191" s="27" t="s">
        <v>812</v>
      </c>
      <c r="D191" s="27" t="s">
        <v>813</v>
      </c>
      <c r="E191" s="27" t="s">
        <v>31</v>
      </c>
      <c r="F191" s="27" t="s">
        <v>219</v>
      </c>
      <c r="G191" s="27" t="s">
        <v>248</v>
      </c>
      <c r="H191" s="40">
        <f ca="1">Tabel1[[#This Row],[KEHADIRAN]]/100</f>
        <v>0.89</v>
      </c>
    </row>
    <row r="192" spans="2:8" x14ac:dyDescent="0.25">
      <c r="B192" s="27">
        <v>190</v>
      </c>
      <c r="C192" s="27" t="s">
        <v>814</v>
      </c>
      <c r="D192" s="27" t="s">
        <v>815</v>
      </c>
      <c r="E192" s="27" t="s">
        <v>31</v>
      </c>
      <c r="F192" s="27" t="s">
        <v>26</v>
      </c>
      <c r="G192" s="27" t="s">
        <v>62</v>
      </c>
      <c r="H192" s="40">
        <f ca="1">Tabel1[[#This Row],[KEHADIRAN]]/100</f>
        <v>0.94</v>
      </c>
    </row>
    <row r="193" spans="2:8" x14ac:dyDescent="0.25">
      <c r="B193" s="27">
        <v>191</v>
      </c>
      <c r="C193" s="27" t="s">
        <v>816</v>
      </c>
      <c r="D193" s="27" t="s">
        <v>817</v>
      </c>
      <c r="E193" s="27" t="s">
        <v>31</v>
      </c>
      <c r="F193" s="27" t="s">
        <v>214</v>
      </c>
      <c r="G193" s="27" t="s">
        <v>229</v>
      </c>
      <c r="H193" s="40">
        <f ca="1">Tabel1[[#This Row],[KEHADIRAN]]/100</f>
        <v>0.92</v>
      </c>
    </row>
    <row r="194" spans="2:8" x14ac:dyDescent="0.25">
      <c r="B194" s="27">
        <v>192</v>
      </c>
      <c r="C194" s="27" t="s">
        <v>818</v>
      </c>
      <c r="D194" s="27" t="s">
        <v>819</v>
      </c>
      <c r="E194" s="27" t="s">
        <v>31</v>
      </c>
      <c r="F194" s="27" t="s">
        <v>231</v>
      </c>
      <c r="G194" s="27" t="s">
        <v>111</v>
      </c>
      <c r="H194" s="40">
        <f ca="1">Tabel1[[#This Row],[KEHADIRAN]]/100</f>
        <v>0.89</v>
      </c>
    </row>
    <row r="195" spans="2:8" x14ac:dyDescent="0.25">
      <c r="B195" s="27">
        <v>193</v>
      </c>
      <c r="C195" s="27" t="s">
        <v>820</v>
      </c>
      <c r="D195" s="27" t="s">
        <v>821</v>
      </c>
      <c r="E195" s="27" t="s">
        <v>31</v>
      </c>
      <c r="F195" s="27" t="s">
        <v>32</v>
      </c>
      <c r="G195" s="27" t="s">
        <v>115</v>
      </c>
      <c r="H195" s="40">
        <f ca="1">Tabel1[[#This Row],[KEHADIRAN]]/100</f>
        <v>0.81</v>
      </c>
    </row>
    <row r="196" spans="2:8" x14ac:dyDescent="0.25">
      <c r="B196" s="27">
        <v>194</v>
      </c>
      <c r="C196" s="27" t="s">
        <v>822</v>
      </c>
      <c r="D196" s="27" t="s">
        <v>823</v>
      </c>
      <c r="E196" s="27" t="s">
        <v>31</v>
      </c>
      <c r="F196" s="27" t="s">
        <v>223</v>
      </c>
      <c r="G196" s="27" t="s">
        <v>113</v>
      </c>
      <c r="H196" s="40">
        <f ca="1">Tabel1[[#This Row],[KEHADIRAN]]/100</f>
        <v>0.98</v>
      </c>
    </row>
    <row r="197" spans="2:8" x14ac:dyDescent="0.25">
      <c r="B197" s="27">
        <v>195</v>
      </c>
      <c r="C197" s="27" t="s">
        <v>824</v>
      </c>
      <c r="D197" s="27" t="s">
        <v>825</v>
      </c>
      <c r="E197" s="27" t="s">
        <v>31</v>
      </c>
      <c r="F197" s="27" t="s">
        <v>231</v>
      </c>
      <c r="G197" s="27" t="s">
        <v>412</v>
      </c>
      <c r="H197" s="40">
        <f ca="1">Tabel1[[#This Row],[KEHADIRAN]]/100</f>
        <v>0.98</v>
      </c>
    </row>
    <row r="198" spans="2:8" x14ac:dyDescent="0.25">
      <c r="B198" s="27">
        <v>196</v>
      </c>
      <c r="C198" s="27" t="s">
        <v>826</v>
      </c>
      <c r="D198" s="27" t="s">
        <v>827</v>
      </c>
      <c r="E198" s="27" t="s">
        <v>19</v>
      </c>
      <c r="F198" s="27" t="s">
        <v>166</v>
      </c>
      <c r="G198" s="27" t="s">
        <v>756</v>
      </c>
      <c r="H198" s="40">
        <f ca="1">Tabel1[[#This Row],[KEHADIRAN]]/100</f>
        <v>0</v>
      </c>
    </row>
    <row r="199" spans="2:8" x14ac:dyDescent="0.25">
      <c r="B199" s="27">
        <v>197</v>
      </c>
      <c r="C199" s="27" t="s">
        <v>828</v>
      </c>
      <c r="D199" s="27" t="s">
        <v>829</v>
      </c>
      <c r="E199" s="27" t="s">
        <v>31</v>
      </c>
      <c r="F199" s="27" t="s">
        <v>53</v>
      </c>
      <c r="G199" s="27" t="s">
        <v>62</v>
      </c>
      <c r="H199" s="40">
        <f ca="1">Tabel1[[#This Row],[KEHADIRAN]]/100</f>
        <v>0.95</v>
      </c>
    </row>
    <row r="200" spans="2:8" x14ac:dyDescent="0.25">
      <c r="B200" s="27">
        <v>198</v>
      </c>
      <c r="C200" s="27" t="s">
        <v>830</v>
      </c>
      <c r="D200" s="27" t="s">
        <v>831</v>
      </c>
      <c r="E200" s="27" t="s">
        <v>31</v>
      </c>
      <c r="F200" s="27" t="s">
        <v>223</v>
      </c>
      <c r="G200" s="27" t="s">
        <v>177</v>
      </c>
      <c r="H200" s="40">
        <f ca="1">Tabel1[[#This Row],[KEHADIRAN]]/100</f>
        <v>0.92</v>
      </c>
    </row>
    <row r="201" spans="2:8" x14ac:dyDescent="0.25">
      <c r="B201" s="27">
        <v>199</v>
      </c>
      <c r="C201" s="27" t="s">
        <v>832</v>
      </c>
      <c r="D201" s="27" t="s">
        <v>833</v>
      </c>
      <c r="E201" s="27" t="s">
        <v>31</v>
      </c>
      <c r="F201" s="27" t="s">
        <v>32</v>
      </c>
      <c r="G201" s="27" t="s">
        <v>115</v>
      </c>
      <c r="H201" s="40">
        <f ca="1">Tabel1[[#This Row],[KEHADIRAN]]/100</f>
        <v>0.93</v>
      </c>
    </row>
    <row r="202" spans="2:8" x14ac:dyDescent="0.25">
      <c r="B202" s="27">
        <v>200</v>
      </c>
      <c r="C202" s="27" t="s">
        <v>834</v>
      </c>
      <c r="D202" s="27" t="s">
        <v>835</v>
      </c>
      <c r="E202" s="27" t="s">
        <v>31</v>
      </c>
      <c r="F202" s="27" t="s">
        <v>32</v>
      </c>
      <c r="G202" s="27" t="s">
        <v>412</v>
      </c>
      <c r="H202" s="40">
        <f ca="1">Tabel1[[#This Row],[KEHADIRAN]]/100</f>
        <v>0.83</v>
      </c>
    </row>
    <row r="203" spans="2:8" x14ac:dyDescent="0.25">
      <c r="B203" s="27">
        <v>201</v>
      </c>
      <c r="C203" s="27" t="s">
        <v>836</v>
      </c>
      <c r="D203" s="27" t="s">
        <v>837</v>
      </c>
      <c r="E203" s="27" t="s">
        <v>31</v>
      </c>
      <c r="F203" s="27" t="s">
        <v>32</v>
      </c>
      <c r="G203" s="27" t="s">
        <v>248</v>
      </c>
      <c r="H203" s="40">
        <f ca="1">Tabel1[[#This Row],[KEHADIRAN]]/100</f>
        <v>0.93</v>
      </c>
    </row>
    <row r="204" spans="2:8" x14ac:dyDescent="0.25">
      <c r="B204" s="27">
        <v>202</v>
      </c>
      <c r="C204" s="27" t="s">
        <v>838</v>
      </c>
      <c r="D204" s="27" t="s">
        <v>839</v>
      </c>
      <c r="E204" s="27" t="s">
        <v>31</v>
      </c>
      <c r="F204" s="27" t="s">
        <v>200</v>
      </c>
      <c r="G204" s="27" t="s">
        <v>298</v>
      </c>
      <c r="H204" s="40">
        <f ca="1">Tabel1[[#This Row],[KEHADIRAN]]/100</f>
        <v>0.82</v>
      </c>
    </row>
    <row r="205" spans="2:8" x14ac:dyDescent="0.25">
      <c r="B205" s="27">
        <v>203</v>
      </c>
      <c r="C205" s="27" t="s">
        <v>840</v>
      </c>
      <c r="D205" s="27" t="s">
        <v>841</v>
      </c>
      <c r="E205" s="27" t="s">
        <v>31</v>
      </c>
      <c r="F205" s="27" t="s">
        <v>135</v>
      </c>
      <c r="G205" s="27" t="s">
        <v>141</v>
      </c>
      <c r="H205" s="40">
        <f ca="1">Tabel1[[#This Row],[KEHADIRAN]]/100</f>
        <v>0.99</v>
      </c>
    </row>
    <row r="206" spans="2:8" x14ac:dyDescent="0.25">
      <c r="B206" s="27">
        <v>204</v>
      </c>
      <c r="C206" s="27" t="s">
        <v>842</v>
      </c>
      <c r="D206" s="27" t="s">
        <v>843</v>
      </c>
      <c r="E206" s="27" t="s">
        <v>31</v>
      </c>
      <c r="F206" s="27" t="s">
        <v>32</v>
      </c>
      <c r="G206" s="27" t="s">
        <v>111</v>
      </c>
      <c r="H206" s="40">
        <f ca="1">Tabel1[[#This Row],[KEHADIRAN]]/100</f>
        <v>0.92</v>
      </c>
    </row>
    <row r="207" spans="2:8" x14ac:dyDescent="0.25">
      <c r="B207" s="27">
        <v>205</v>
      </c>
      <c r="C207" s="27" t="s">
        <v>844</v>
      </c>
      <c r="D207" s="27" t="s">
        <v>845</v>
      </c>
      <c r="E207" s="27" t="s">
        <v>31</v>
      </c>
      <c r="F207" s="27" t="s">
        <v>175</v>
      </c>
      <c r="G207" s="27" t="s">
        <v>846</v>
      </c>
      <c r="H207" s="40">
        <f ca="1">Tabel1[[#This Row],[KEHADIRAN]]/100</f>
        <v>0.95</v>
      </c>
    </row>
    <row r="208" spans="2:8" x14ac:dyDescent="0.25">
      <c r="B208" s="27">
        <v>206</v>
      </c>
      <c r="C208" s="27" t="s">
        <v>847</v>
      </c>
      <c r="D208" s="27" t="s">
        <v>848</v>
      </c>
      <c r="E208" s="27" t="s">
        <v>31</v>
      </c>
      <c r="F208" s="27" t="s">
        <v>53</v>
      </c>
      <c r="G208" s="27" t="s">
        <v>355</v>
      </c>
      <c r="H208" s="40">
        <f ca="1">Tabel1[[#This Row],[KEHADIRAN]]/100</f>
        <v>0.9</v>
      </c>
    </row>
    <row r="209" spans="2:8" x14ac:dyDescent="0.25">
      <c r="B209" s="27">
        <v>207</v>
      </c>
      <c r="C209" s="27" t="s">
        <v>849</v>
      </c>
      <c r="D209" s="27" t="s">
        <v>850</v>
      </c>
      <c r="E209" s="27" t="s">
        <v>31</v>
      </c>
      <c r="F209" s="27" t="s">
        <v>53</v>
      </c>
      <c r="G209" s="27" t="s">
        <v>241</v>
      </c>
      <c r="H209" s="40">
        <f ca="1">Tabel1[[#This Row],[KEHADIRAN]]/100</f>
        <v>0.93</v>
      </c>
    </row>
    <row r="210" spans="2:8" x14ac:dyDescent="0.25">
      <c r="B210" s="27">
        <v>208</v>
      </c>
      <c r="C210" s="27" t="s">
        <v>851</v>
      </c>
      <c r="D210" s="27" t="s">
        <v>852</v>
      </c>
      <c r="E210" s="27" t="s">
        <v>31</v>
      </c>
      <c r="F210" s="27" t="s">
        <v>53</v>
      </c>
      <c r="G210" s="27" t="s">
        <v>257</v>
      </c>
      <c r="H210" s="40">
        <f ca="1">Tabel1[[#This Row],[KEHADIRAN]]/100</f>
        <v>0.96</v>
      </c>
    </row>
    <row r="211" spans="2:8" x14ac:dyDescent="0.25">
      <c r="B211" s="27">
        <v>209</v>
      </c>
      <c r="C211" s="27" t="s">
        <v>853</v>
      </c>
      <c r="D211" s="27" t="s">
        <v>854</v>
      </c>
      <c r="E211" s="27" t="s">
        <v>31</v>
      </c>
      <c r="F211" s="27" t="s">
        <v>53</v>
      </c>
      <c r="G211" s="27" t="s">
        <v>132</v>
      </c>
      <c r="H211" s="40">
        <f ca="1">Tabel1[[#This Row],[KEHADIRAN]]/100</f>
        <v>0.9</v>
      </c>
    </row>
    <row r="212" spans="2:8" x14ac:dyDescent="0.25">
      <c r="B212" s="27">
        <v>210</v>
      </c>
      <c r="C212" s="27" t="s">
        <v>855</v>
      </c>
      <c r="D212" s="27" t="s">
        <v>411</v>
      </c>
      <c r="E212" s="27" t="s">
        <v>19</v>
      </c>
      <c r="F212" s="27" t="s">
        <v>48</v>
      </c>
      <c r="G212" s="27" t="s">
        <v>111</v>
      </c>
      <c r="H212" s="40">
        <f ca="1">Tabel1[[#This Row],[KEHADIRAN]]/100</f>
        <v>0</v>
      </c>
    </row>
    <row r="213" spans="2:8" x14ac:dyDescent="0.25">
      <c r="B213" s="27">
        <v>211</v>
      </c>
      <c r="C213" s="27" t="s">
        <v>856</v>
      </c>
      <c r="D213" s="27" t="s">
        <v>857</v>
      </c>
      <c r="E213" s="27" t="s">
        <v>31</v>
      </c>
      <c r="F213" s="27" t="s">
        <v>32</v>
      </c>
      <c r="G213" s="27" t="s">
        <v>332</v>
      </c>
      <c r="H213" s="40">
        <f ca="1">Tabel1[[#This Row],[KEHADIRAN]]/100</f>
        <v>0.95</v>
      </c>
    </row>
    <row r="214" spans="2:8" x14ac:dyDescent="0.25">
      <c r="B214" s="27">
        <v>212</v>
      </c>
      <c r="C214" s="27" t="s">
        <v>858</v>
      </c>
      <c r="D214" s="27" t="s">
        <v>859</v>
      </c>
      <c r="E214" s="27" t="s">
        <v>31</v>
      </c>
      <c r="F214" s="27" t="s">
        <v>32</v>
      </c>
      <c r="G214" s="27" t="s">
        <v>111</v>
      </c>
      <c r="H214" s="40">
        <f ca="1">Tabel1[[#This Row],[KEHADIRAN]]/100</f>
        <v>0.82</v>
      </c>
    </row>
    <row r="215" spans="2:8" x14ac:dyDescent="0.25">
      <c r="B215" s="27">
        <v>213</v>
      </c>
      <c r="C215" s="27" t="s">
        <v>860</v>
      </c>
      <c r="D215" s="27" t="s">
        <v>861</v>
      </c>
      <c r="E215" s="27" t="s">
        <v>31</v>
      </c>
      <c r="F215" s="27" t="s">
        <v>26</v>
      </c>
      <c r="G215" s="27" t="s">
        <v>113</v>
      </c>
      <c r="H215" s="40">
        <f ca="1">Tabel1[[#This Row],[KEHADIRAN]]/100</f>
        <v>0.83</v>
      </c>
    </row>
    <row r="216" spans="2:8" x14ac:dyDescent="0.25">
      <c r="B216" s="27">
        <v>214</v>
      </c>
      <c r="C216" s="27" t="s">
        <v>862</v>
      </c>
      <c r="D216" s="27" t="s">
        <v>863</v>
      </c>
      <c r="E216" s="27" t="s">
        <v>31</v>
      </c>
      <c r="F216" s="27" t="s">
        <v>32</v>
      </c>
      <c r="G216" s="27" t="s">
        <v>143</v>
      </c>
      <c r="H216" s="40">
        <f ca="1">Tabel1[[#This Row],[KEHADIRAN]]/100</f>
        <v>0.81</v>
      </c>
    </row>
    <row r="217" spans="2:8" x14ac:dyDescent="0.25">
      <c r="B217" s="27">
        <v>215</v>
      </c>
      <c r="C217" s="27" t="s">
        <v>864</v>
      </c>
      <c r="D217" s="27" t="s">
        <v>865</v>
      </c>
      <c r="E217" s="27" t="s">
        <v>31</v>
      </c>
      <c r="F217" s="27" t="s">
        <v>26</v>
      </c>
      <c r="G217" s="27" t="s">
        <v>248</v>
      </c>
      <c r="H217" s="40">
        <f ca="1">Tabel1[[#This Row],[KEHADIRAN]]/100</f>
        <v>0.96</v>
      </c>
    </row>
    <row r="218" spans="2:8" x14ac:dyDescent="0.25">
      <c r="B218" s="27">
        <v>216</v>
      </c>
      <c r="C218" s="27" t="s">
        <v>866</v>
      </c>
      <c r="D218" s="27" t="s">
        <v>867</v>
      </c>
      <c r="E218" s="27" t="s">
        <v>31</v>
      </c>
      <c r="F218" s="27" t="s">
        <v>216</v>
      </c>
      <c r="G218" s="27" t="s">
        <v>239</v>
      </c>
      <c r="H218" s="40">
        <f ca="1">Tabel1[[#This Row],[KEHADIRAN]]/100</f>
        <v>0.95</v>
      </c>
    </row>
    <row r="219" spans="2:8" x14ac:dyDescent="0.25">
      <c r="B219" s="27">
        <v>217</v>
      </c>
      <c r="C219" s="27" t="s">
        <v>868</v>
      </c>
      <c r="D219" s="27" t="s">
        <v>869</v>
      </c>
      <c r="E219" s="27" t="s">
        <v>31</v>
      </c>
      <c r="F219" s="27" t="s">
        <v>26</v>
      </c>
      <c r="G219" s="27" t="s">
        <v>271</v>
      </c>
      <c r="H219" s="40">
        <f ca="1">Tabel1[[#This Row],[KEHADIRAN]]/100</f>
        <v>0.95</v>
      </c>
    </row>
    <row r="220" spans="2:8" x14ac:dyDescent="0.25">
      <c r="B220" s="27">
        <v>218</v>
      </c>
      <c r="C220" s="27" t="s">
        <v>870</v>
      </c>
      <c r="D220" s="27" t="s">
        <v>871</v>
      </c>
      <c r="E220" s="27" t="s">
        <v>31</v>
      </c>
      <c r="F220" s="27" t="s">
        <v>191</v>
      </c>
      <c r="G220" s="27" t="s">
        <v>97</v>
      </c>
      <c r="H220" s="40">
        <f ca="1">Tabel1[[#This Row],[KEHADIRAN]]/100</f>
        <v>0.89</v>
      </c>
    </row>
    <row r="221" spans="2:8" x14ac:dyDescent="0.25">
      <c r="B221" s="27">
        <v>219</v>
      </c>
      <c r="C221" s="27" t="s">
        <v>872</v>
      </c>
      <c r="D221" s="27" t="s">
        <v>407</v>
      </c>
      <c r="E221" s="27" t="s">
        <v>19</v>
      </c>
      <c r="F221" s="27" t="s">
        <v>33</v>
      </c>
      <c r="G221" s="27" t="s">
        <v>873</v>
      </c>
      <c r="H221" s="40">
        <f ca="1">Tabel1[[#This Row],[KEHADIRAN]]/100</f>
        <v>0</v>
      </c>
    </row>
    <row r="222" spans="2:8" x14ac:dyDescent="0.25">
      <c r="B222" s="27">
        <v>220</v>
      </c>
      <c r="C222" s="27" t="s">
        <v>874</v>
      </c>
      <c r="D222" s="27" t="s">
        <v>875</v>
      </c>
      <c r="E222" s="27" t="s">
        <v>31</v>
      </c>
      <c r="F222" s="27" t="s">
        <v>53</v>
      </c>
      <c r="G222" s="27" t="s">
        <v>404</v>
      </c>
      <c r="H222" s="40">
        <f ca="1">Tabel1[[#This Row],[KEHADIRAN]]/100</f>
        <v>0.9</v>
      </c>
    </row>
    <row r="223" spans="2:8" x14ac:dyDescent="0.25">
      <c r="B223" s="27">
        <v>221</v>
      </c>
      <c r="C223" s="27" t="s">
        <v>876</v>
      </c>
      <c r="D223" s="27" t="s">
        <v>877</v>
      </c>
      <c r="E223" s="27" t="s">
        <v>31</v>
      </c>
      <c r="F223" s="27" t="s">
        <v>53</v>
      </c>
      <c r="G223" s="27" t="s">
        <v>62</v>
      </c>
      <c r="H223" s="40">
        <f ca="1">Tabel1[[#This Row],[KEHADIRAN]]/100</f>
        <v>0.96</v>
      </c>
    </row>
    <row r="224" spans="2:8" x14ac:dyDescent="0.25">
      <c r="B224" s="27">
        <v>222</v>
      </c>
      <c r="C224" s="27" t="s">
        <v>878</v>
      </c>
      <c r="D224" s="27" t="s">
        <v>879</v>
      </c>
      <c r="E224" s="27" t="s">
        <v>19</v>
      </c>
      <c r="F224" s="27" t="s">
        <v>166</v>
      </c>
      <c r="G224" s="27" t="s">
        <v>880</v>
      </c>
      <c r="H224" s="40">
        <f ca="1">Tabel1[[#This Row],[KEHADIRAN]]/100</f>
        <v>0</v>
      </c>
    </row>
    <row r="225" spans="2:8" x14ac:dyDescent="0.25">
      <c r="B225" s="27">
        <v>223</v>
      </c>
      <c r="C225" s="27" t="s">
        <v>881</v>
      </c>
      <c r="D225" s="27" t="s">
        <v>882</v>
      </c>
      <c r="E225" s="27" t="s">
        <v>31</v>
      </c>
      <c r="F225" s="27" t="s">
        <v>26</v>
      </c>
      <c r="G225" s="27" t="s">
        <v>241</v>
      </c>
      <c r="H225" s="40">
        <f ca="1">Tabel1[[#This Row],[KEHADIRAN]]/100</f>
        <v>0.9</v>
      </c>
    </row>
    <row r="226" spans="2:8" x14ac:dyDescent="0.25">
      <c r="B226" s="27">
        <v>224</v>
      </c>
      <c r="C226" s="27" t="s">
        <v>883</v>
      </c>
      <c r="D226" s="27" t="s">
        <v>884</v>
      </c>
      <c r="E226" s="27" t="s">
        <v>31</v>
      </c>
      <c r="F226" s="27" t="s">
        <v>32</v>
      </c>
      <c r="G226" s="27" t="s">
        <v>139</v>
      </c>
      <c r="H226" s="40">
        <f ca="1">Tabel1[[#This Row],[KEHADIRAN]]/100</f>
        <v>1</v>
      </c>
    </row>
    <row r="227" spans="2:8" x14ac:dyDescent="0.25">
      <c r="B227" s="27">
        <v>225</v>
      </c>
      <c r="C227" s="27" t="s">
        <v>885</v>
      </c>
      <c r="D227" s="27" t="s">
        <v>886</v>
      </c>
      <c r="E227" s="27" t="s">
        <v>31</v>
      </c>
      <c r="F227" s="27" t="s">
        <v>200</v>
      </c>
      <c r="G227" s="27" t="s">
        <v>190</v>
      </c>
      <c r="H227" s="40">
        <f ca="1">Tabel1[[#This Row],[KEHADIRAN]]/100</f>
        <v>0.89</v>
      </c>
    </row>
    <row r="228" spans="2:8" x14ac:dyDescent="0.25">
      <c r="B228" s="27">
        <v>226</v>
      </c>
      <c r="C228" s="27" t="s">
        <v>887</v>
      </c>
      <c r="D228" s="27" t="s">
        <v>888</v>
      </c>
      <c r="E228" s="27" t="s">
        <v>31</v>
      </c>
      <c r="F228" s="27" t="s">
        <v>51</v>
      </c>
      <c r="G228" s="27" t="s">
        <v>342</v>
      </c>
      <c r="H228" s="40">
        <f ca="1">Tabel1[[#This Row],[KEHADIRAN]]/100</f>
        <v>0.87</v>
      </c>
    </row>
    <row r="229" spans="2:8" x14ac:dyDescent="0.25">
      <c r="B229" s="27">
        <v>227</v>
      </c>
      <c r="C229" s="27" t="s">
        <v>889</v>
      </c>
      <c r="D229" s="27" t="s">
        <v>890</v>
      </c>
      <c r="E229" s="27" t="s">
        <v>31</v>
      </c>
      <c r="F229" s="27" t="s">
        <v>219</v>
      </c>
      <c r="G229" s="27" t="s">
        <v>418</v>
      </c>
      <c r="H229" s="40">
        <f ca="1">Tabel1[[#This Row],[KEHADIRAN]]/100</f>
        <v>0.98</v>
      </c>
    </row>
    <row r="230" spans="2:8" x14ac:dyDescent="0.25">
      <c r="B230" s="27">
        <v>228</v>
      </c>
      <c r="C230" s="27" t="s">
        <v>891</v>
      </c>
      <c r="D230" s="27" t="s">
        <v>892</v>
      </c>
      <c r="E230" s="27" t="s">
        <v>31</v>
      </c>
      <c r="F230" s="27" t="s">
        <v>168</v>
      </c>
      <c r="G230" s="27" t="s">
        <v>418</v>
      </c>
      <c r="H230" s="40">
        <f ca="1">Tabel1[[#This Row],[KEHADIRAN]]/100</f>
        <v>0.81</v>
      </c>
    </row>
    <row r="231" spans="2:8" x14ac:dyDescent="0.25">
      <c r="B231" s="27">
        <v>229</v>
      </c>
      <c r="C231" s="27" t="s">
        <v>893</v>
      </c>
      <c r="D231" s="27" t="s">
        <v>894</v>
      </c>
      <c r="E231" s="27" t="s">
        <v>31</v>
      </c>
      <c r="F231" s="27" t="s">
        <v>32</v>
      </c>
      <c r="G231" s="27" t="s">
        <v>111</v>
      </c>
      <c r="H231" s="40">
        <f ca="1">Tabel1[[#This Row],[KEHADIRAN]]/100</f>
        <v>1</v>
      </c>
    </row>
    <row r="232" spans="2:8" x14ac:dyDescent="0.25">
      <c r="B232" s="27">
        <v>230</v>
      </c>
      <c r="C232" s="27" t="s">
        <v>895</v>
      </c>
      <c r="D232" s="27" t="s">
        <v>896</v>
      </c>
      <c r="E232" s="27" t="s">
        <v>31</v>
      </c>
      <c r="F232" s="27" t="s">
        <v>216</v>
      </c>
      <c r="G232" s="27" t="s">
        <v>241</v>
      </c>
      <c r="H232" s="40">
        <f ca="1">Tabel1[[#This Row],[KEHADIRAN]]/100</f>
        <v>0.95</v>
      </c>
    </row>
    <row r="233" spans="2:8" x14ac:dyDescent="0.25">
      <c r="B233" s="27">
        <v>231</v>
      </c>
      <c r="C233" s="27" t="s">
        <v>897</v>
      </c>
      <c r="D233" s="27" t="s">
        <v>898</v>
      </c>
      <c r="E233" s="27" t="s">
        <v>31</v>
      </c>
      <c r="F233" s="27" t="s">
        <v>32</v>
      </c>
      <c r="G233" s="27" t="s">
        <v>83</v>
      </c>
      <c r="H233" s="40">
        <f ca="1">Tabel1[[#This Row],[KEHADIRAN]]/100</f>
        <v>0.83</v>
      </c>
    </row>
    <row r="234" spans="2:8" x14ac:dyDescent="0.25">
      <c r="B234" s="27">
        <v>232</v>
      </c>
      <c r="C234" s="27" t="s">
        <v>899</v>
      </c>
      <c r="D234" s="27" t="s">
        <v>900</v>
      </c>
      <c r="E234" s="27" t="s">
        <v>31</v>
      </c>
      <c r="F234" s="27" t="s">
        <v>32</v>
      </c>
      <c r="G234" s="27" t="s">
        <v>332</v>
      </c>
      <c r="H234" s="40">
        <f ca="1">Tabel1[[#This Row],[KEHADIRAN]]/100</f>
        <v>0.91</v>
      </c>
    </row>
    <row r="235" spans="2:8" x14ac:dyDescent="0.25">
      <c r="B235" s="27">
        <v>233</v>
      </c>
      <c r="C235" s="27" t="s">
        <v>901</v>
      </c>
      <c r="D235" s="27" t="s">
        <v>902</v>
      </c>
      <c r="E235" s="27" t="s">
        <v>31</v>
      </c>
      <c r="F235" s="27" t="s">
        <v>32</v>
      </c>
      <c r="G235" s="27" t="s">
        <v>257</v>
      </c>
      <c r="H235" s="40">
        <f ca="1">Tabel1[[#This Row],[KEHADIRAN]]/100</f>
        <v>0.83</v>
      </c>
    </row>
    <row r="236" spans="2:8" x14ac:dyDescent="0.25">
      <c r="B236" s="27">
        <v>234</v>
      </c>
      <c r="C236" s="27" t="s">
        <v>903</v>
      </c>
      <c r="D236" s="27" t="s">
        <v>904</v>
      </c>
      <c r="E236" s="27" t="s">
        <v>31</v>
      </c>
      <c r="F236" s="27" t="s">
        <v>223</v>
      </c>
      <c r="G236" s="27" t="s">
        <v>111</v>
      </c>
      <c r="H236" s="40">
        <f ca="1">Tabel1[[#This Row],[KEHADIRAN]]/100</f>
        <v>0.87</v>
      </c>
    </row>
    <row r="237" spans="2:8" x14ac:dyDescent="0.25">
      <c r="B237" s="27">
        <v>235</v>
      </c>
      <c r="C237" s="27" t="s">
        <v>905</v>
      </c>
      <c r="D237" s="27" t="s">
        <v>906</v>
      </c>
      <c r="E237" s="27" t="s">
        <v>31</v>
      </c>
      <c r="F237" s="27" t="s">
        <v>109</v>
      </c>
      <c r="G237" s="27" t="s">
        <v>183</v>
      </c>
      <c r="H237" s="40">
        <f ca="1">Tabel1[[#This Row],[KEHADIRAN]]/100</f>
        <v>1</v>
      </c>
    </row>
    <row r="238" spans="2:8" x14ac:dyDescent="0.25">
      <c r="B238" s="27">
        <v>236</v>
      </c>
      <c r="C238" s="27" t="s">
        <v>907</v>
      </c>
      <c r="D238" s="27" t="s">
        <v>908</v>
      </c>
      <c r="E238" s="27" t="s">
        <v>31</v>
      </c>
      <c r="F238" s="27" t="s">
        <v>26</v>
      </c>
      <c r="G238" s="27" t="s">
        <v>248</v>
      </c>
      <c r="H238" s="40">
        <f ca="1">Tabel1[[#This Row],[KEHADIRAN]]/100</f>
        <v>0.83</v>
      </c>
    </row>
    <row r="239" spans="2:8" x14ac:dyDescent="0.25">
      <c r="B239" s="27">
        <v>237</v>
      </c>
      <c r="C239" s="27" t="s">
        <v>909</v>
      </c>
      <c r="D239" s="27" t="s">
        <v>910</v>
      </c>
      <c r="E239" s="27" t="s">
        <v>31</v>
      </c>
      <c r="F239" s="27" t="s">
        <v>53</v>
      </c>
      <c r="G239" s="27" t="s">
        <v>143</v>
      </c>
      <c r="H239" s="40">
        <f ca="1">Tabel1[[#This Row],[KEHADIRAN]]/100</f>
        <v>0.94</v>
      </c>
    </row>
    <row r="240" spans="2:8" x14ac:dyDescent="0.25">
      <c r="B240" s="27">
        <v>238</v>
      </c>
      <c r="C240" s="27" t="s">
        <v>911</v>
      </c>
      <c r="D240" s="27" t="s">
        <v>912</v>
      </c>
      <c r="E240" s="27" t="s">
        <v>31</v>
      </c>
      <c r="F240" s="27" t="s">
        <v>32</v>
      </c>
      <c r="G240" s="27" t="s">
        <v>124</v>
      </c>
      <c r="H240" s="40">
        <f ca="1">Tabel1[[#This Row],[KEHADIRAN]]/100</f>
        <v>0.81</v>
      </c>
    </row>
    <row r="241" spans="2:8" x14ac:dyDescent="0.25">
      <c r="B241" s="27">
        <v>239</v>
      </c>
      <c r="C241" s="27" t="s">
        <v>913</v>
      </c>
      <c r="D241" s="27" t="s">
        <v>914</v>
      </c>
      <c r="E241" s="27" t="s">
        <v>31</v>
      </c>
      <c r="F241" s="27" t="s">
        <v>26</v>
      </c>
      <c r="G241" s="27" t="s">
        <v>481</v>
      </c>
      <c r="H241" s="40">
        <f ca="1">Tabel1[[#This Row],[KEHADIRAN]]/100</f>
        <v>0.99</v>
      </c>
    </row>
    <row r="242" spans="2:8" x14ac:dyDescent="0.25">
      <c r="B242" s="27">
        <v>240</v>
      </c>
      <c r="C242" s="27" t="s">
        <v>915</v>
      </c>
      <c r="D242" s="27" t="s">
        <v>916</v>
      </c>
      <c r="E242" s="27" t="s">
        <v>31</v>
      </c>
      <c r="F242" s="27" t="s">
        <v>53</v>
      </c>
      <c r="G242" s="27" t="s">
        <v>269</v>
      </c>
      <c r="H242" s="40">
        <f ca="1">Tabel1[[#This Row],[KEHADIRAN]]/100</f>
        <v>0.84</v>
      </c>
    </row>
    <row r="243" spans="2:8" x14ac:dyDescent="0.25">
      <c r="B243" s="27">
        <v>241</v>
      </c>
      <c r="C243" s="27" t="s">
        <v>917</v>
      </c>
      <c r="D243" s="27" t="s">
        <v>918</v>
      </c>
      <c r="E243" s="27" t="s">
        <v>31</v>
      </c>
      <c r="F243" s="27" t="s">
        <v>53</v>
      </c>
      <c r="G243" s="27" t="s">
        <v>355</v>
      </c>
      <c r="H243" s="40">
        <f ca="1">Tabel1[[#This Row],[KEHADIRAN]]/100</f>
        <v>0.88</v>
      </c>
    </row>
    <row r="244" spans="2:8" x14ac:dyDescent="0.25">
      <c r="B244" s="27">
        <v>242</v>
      </c>
      <c r="C244" s="27" t="s">
        <v>919</v>
      </c>
      <c r="D244" s="27" t="s">
        <v>920</v>
      </c>
      <c r="E244" s="27" t="s">
        <v>31</v>
      </c>
      <c r="F244" s="27" t="s">
        <v>51</v>
      </c>
      <c r="G244" s="27" t="s">
        <v>177</v>
      </c>
      <c r="H244" s="40">
        <f ca="1">Tabel1[[#This Row],[KEHADIRAN]]/100</f>
        <v>0.81</v>
      </c>
    </row>
    <row r="245" spans="2:8" x14ac:dyDescent="0.25">
      <c r="B245" s="27">
        <v>243</v>
      </c>
      <c r="C245" s="27" t="s">
        <v>921</v>
      </c>
      <c r="D245" s="27" t="s">
        <v>922</v>
      </c>
      <c r="E245" s="27" t="s">
        <v>19</v>
      </c>
      <c r="F245" s="27" t="s">
        <v>166</v>
      </c>
      <c r="G245" s="27" t="s">
        <v>277</v>
      </c>
      <c r="H245" s="40">
        <f ca="1">Tabel1[[#This Row],[KEHADIRAN]]/100</f>
        <v>0</v>
      </c>
    </row>
    <row r="246" spans="2:8" x14ac:dyDescent="0.25">
      <c r="B246" s="27">
        <v>244</v>
      </c>
      <c r="C246" s="27" t="s">
        <v>923</v>
      </c>
      <c r="D246" s="27" t="s">
        <v>924</v>
      </c>
      <c r="E246" s="27" t="s">
        <v>31</v>
      </c>
      <c r="F246" s="27" t="s">
        <v>32</v>
      </c>
      <c r="G246" s="27" t="s">
        <v>416</v>
      </c>
      <c r="H246" s="40">
        <f ca="1">Tabel1[[#This Row],[KEHADIRAN]]/100</f>
        <v>0.85</v>
      </c>
    </row>
    <row r="247" spans="2:8" x14ac:dyDescent="0.25">
      <c r="B247" s="27">
        <v>245</v>
      </c>
      <c r="C247" s="27" t="s">
        <v>925</v>
      </c>
      <c r="D247" s="27" t="s">
        <v>926</v>
      </c>
      <c r="E247" s="27" t="s">
        <v>31</v>
      </c>
      <c r="F247" s="27" t="s">
        <v>32</v>
      </c>
      <c r="G247" s="27" t="s">
        <v>62</v>
      </c>
      <c r="H247" s="40">
        <f ca="1">Tabel1[[#This Row],[KEHADIRAN]]/100</f>
        <v>0.96</v>
      </c>
    </row>
    <row r="248" spans="2:8" x14ac:dyDescent="0.25">
      <c r="B248" s="27">
        <v>246</v>
      </c>
      <c r="C248" s="27" t="s">
        <v>927</v>
      </c>
      <c r="D248" s="27" t="s">
        <v>928</v>
      </c>
      <c r="E248" s="27" t="s">
        <v>19</v>
      </c>
      <c r="F248" s="27" t="s">
        <v>65</v>
      </c>
      <c r="G248" s="27" t="s">
        <v>71</v>
      </c>
      <c r="H248" s="40">
        <f ca="1">Tabel1[[#This Row],[KEHADIRAN]]/100</f>
        <v>0</v>
      </c>
    </row>
    <row r="249" spans="2:8" x14ac:dyDescent="0.25">
      <c r="B249" s="27">
        <v>247</v>
      </c>
      <c r="C249" s="27" t="s">
        <v>929</v>
      </c>
      <c r="D249" s="27" t="s">
        <v>930</v>
      </c>
      <c r="E249" s="27" t="s">
        <v>931</v>
      </c>
      <c r="F249" s="27" t="s">
        <v>135</v>
      </c>
      <c r="G249" s="27" t="s">
        <v>143</v>
      </c>
      <c r="H249" s="40">
        <f ca="1">Tabel1[[#This Row],[KEHADIRAN]]/100</f>
        <v>0.83</v>
      </c>
    </row>
    <row r="250" spans="2:8" x14ac:dyDescent="0.25">
      <c r="B250" s="27">
        <v>248</v>
      </c>
      <c r="C250" s="27" t="s">
        <v>932</v>
      </c>
      <c r="D250" s="27" t="s">
        <v>933</v>
      </c>
      <c r="E250" s="27" t="s">
        <v>31</v>
      </c>
      <c r="F250" s="27" t="s">
        <v>26</v>
      </c>
      <c r="G250" s="27" t="s">
        <v>271</v>
      </c>
      <c r="H250" s="40">
        <f ca="1">Tabel1[[#This Row],[KEHADIRAN]]/100</f>
        <v>0.85</v>
      </c>
    </row>
    <row r="251" spans="2:8" x14ac:dyDescent="0.25">
      <c r="B251" s="27">
        <v>249</v>
      </c>
      <c r="C251" s="27" t="s">
        <v>934</v>
      </c>
      <c r="D251" s="27" t="s">
        <v>935</v>
      </c>
      <c r="E251" s="27" t="s">
        <v>31</v>
      </c>
      <c r="F251" s="27" t="s">
        <v>32</v>
      </c>
      <c r="G251" s="27" t="s">
        <v>416</v>
      </c>
      <c r="H251" s="40">
        <f ca="1">Tabel1[[#This Row],[KEHADIRAN]]/100</f>
        <v>0.96</v>
      </c>
    </row>
    <row r="252" spans="2:8" x14ac:dyDescent="0.25">
      <c r="B252" s="27">
        <v>250</v>
      </c>
      <c r="C252" s="27" t="s">
        <v>936</v>
      </c>
      <c r="D252" s="27" t="s">
        <v>937</v>
      </c>
      <c r="E252" s="27" t="s">
        <v>31</v>
      </c>
      <c r="F252" s="27" t="s">
        <v>51</v>
      </c>
      <c r="G252" s="27" t="s">
        <v>239</v>
      </c>
      <c r="H252" s="40">
        <f ca="1">Tabel1[[#This Row],[KEHADIRAN]]/100</f>
        <v>0.93</v>
      </c>
    </row>
    <row r="253" spans="2:8" x14ac:dyDescent="0.25">
      <c r="B253" s="27">
        <v>251</v>
      </c>
      <c r="C253" s="27" t="s">
        <v>938</v>
      </c>
      <c r="D253" s="27" t="s">
        <v>939</v>
      </c>
      <c r="E253" s="27" t="s">
        <v>31</v>
      </c>
      <c r="F253" s="27" t="s">
        <v>223</v>
      </c>
      <c r="G253" s="27" t="s">
        <v>122</v>
      </c>
      <c r="H253" s="40">
        <f ca="1">Tabel1[[#This Row],[KEHADIRAN]]/100</f>
        <v>0.83</v>
      </c>
    </row>
    <row r="254" spans="2:8" x14ac:dyDescent="0.25">
      <c r="B254" s="27">
        <v>252</v>
      </c>
      <c r="C254" s="27" t="s">
        <v>940</v>
      </c>
      <c r="D254" s="27" t="s">
        <v>941</v>
      </c>
      <c r="E254" s="27" t="s">
        <v>31</v>
      </c>
      <c r="F254" s="27" t="s">
        <v>228</v>
      </c>
      <c r="G254" s="27" t="s">
        <v>271</v>
      </c>
      <c r="H254" s="40">
        <f ca="1">Tabel1[[#This Row],[KEHADIRAN]]/100</f>
        <v>0.9</v>
      </c>
    </row>
    <row r="255" spans="2:8" x14ac:dyDescent="0.25">
      <c r="B255" s="27">
        <v>253</v>
      </c>
      <c r="C255" s="27" t="s">
        <v>942</v>
      </c>
      <c r="D255" s="27" t="s">
        <v>943</v>
      </c>
      <c r="E255" s="27" t="s">
        <v>31</v>
      </c>
      <c r="F255" s="27" t="s">
        <v>32</v>
      </c>
      <c r="G255" s="27" t="s">
        <v>212</v>
      </c>
      <c r="H255" s="40">
        <f ca="1">Tabel1[[#This Row],[KEHADIRAN]]/100</f>
        <v>0.93</v>
      </c>
    </row>
    <row r="256" spans="2:8" x14ac:dyDescent="0.25">
      <c r="B256" s="27">
        <v>254</v>
      </c>
      <c r="C256" s="27" t="s">
        <v>944</v>
      </c>
      <c r="D256" s="27" t="s">
        <v>945</v>
      </c>
      <c r="E256" s="27" t="s">
        <v>31</v>
      </c>
      <c r="F256" s="27" t="s">
        <v>53</v>
      </c>
      <c r="G256" s="27" t="s">
        <v>414</v>
      </c>
      <c r="H256" s="40">
        <f ca="1">Tabel1[[#This Row],[KEHADIRAN]]/100</f>
        <v>0.84</v>
      </c>
    </row>
    <row r="257" spans="2:8" x14ac:dyDescent="0.25">
      <c r="B257" s="27">
        <v>255</v>
      </c>
      <c r="C257" s="27" t="s">
        <v>946</v>
      </c>
      <c r="D257" s="27" t="s">
        <v>947</v>
      </c>
      <c r="E257" s="27" t="s">
        <v>31</v>
      </c>
      <c r="F257" s="27" t="s">
        <v>219</v>
      </c>
      <c r="G257" s="27" t="s">
        <v>127</v>
      </c>
      <c r="H257" s="40">
        <f ca="1">Tabel1[[#This Row],[KEHADIRAN]]/100</f>
        <v>0.97</v>
      </c>
    </row>
    <row r="258" spans="2:8" x14ac:dyDescent="0.25">
      <c r="B258" s="27">
        <v>256</v>
      </c>
      <c r="C258" s="27" t="s">
        <v>948</v>
      </c>
      <c r="D258" s="27" t="s">
        <v>949</v>
      </c>
      <c r="E258" s="27" t="s">
        <v>31</v>
      </c>
      <c r="F258" s="27" t="s">
        <v>26</v>
      </c>
      <c r="G258" s="27" t="s">
        <v>257</v>
      </c>
      <c r="H258" s="40">
        <f ca="1">Tabel1[[#This Row],[KEHADIRAN]]/100</f>
        <v>0.84</v>
      </c>
    </row>
    <row r="259" spans="2:8" x14ac:dyDescent="0.25">
      <c r="B259" s="27">
        <v>257</v>
      </c>
      <c r="C259" s="27" t="s">
        <v>950</v>
      </c>
      <c r="D259" s="27" t="s">
        <v>951</v>
      </c>
      <c r="E259" s="27" t="s">
        <v>19</v>
      </c>
      <c r="F259" s="27" t="s">
        <v>40</v>
      </c>
      <c r="G259" s="27" t="s">
        <v>410</v>
      </c>
      <c r="H259" s="40">
        <f ca="1">Tabel1[[#This Row],[KEHADIRAN]]/100</f>
        <v>0</v>
      </c>
    </row>
    <row r="260" spans="2:8" x14ac:dyDescent="0.25">
      <c r="B260" s="27">
        <v>258</v>
      </c>
      <c r="C260" s="27" t="s">
        <v>952</v>
      </c>
      <c r="D260" s="27" t="s">
        <v>953</v>
      </c>
      <c r="E260" s="27" t="s">
        <v>31</v>
      </c>
      <c r="F260" s="27" t="s">
        <v>32</v>
      </c>
      <c r="G260" s="27" t="s">
        <v>212</v>
      </c>
      <c r="H260" s="40">
        <f ca="1">Tabel1[[#This Row],[KEHADIRAN]]/100</f>
        <v>0.84</v>
      </c>
    </row>
    <row r="261" spans="2:8" x14ac:dyDescent="0.25">
      <c r="B261" s="27">
        <v>259</v>
      </c>
      <c r="C261" s="27" t="s">
        <v>954</v>
      </c>
      <c r="D261" s="27" t="s">
        <v>955</v>
      </c>
      <c r="E261" s="27" t="s">
        <v>31</v>
      </c>
      <c r="F261" s="27" t="s">
        <v>70</v>
      </c>
      <c r="G261" s="27" t="s">
        <v>130</v>
      </c>
      <c r="H261" s="40">
        <f ca="1">Tabel1[[#This Row],[KEHADIRAN]]/100</f>
        <v>0.85</v>
      </c>
    </row>
    <row r="262" spans="2:8" x14ac:dyDescent="0.25">
      <c r="B262" s="27">
        <v>260</v>
      </c>
      <c r="C262" s="27" t="s">
        <v>956</v>
      </c>
      <c r="D262" s="27" t="s">
        <v>957</v>
      </c>
      <c r="E262" s="27" t="s">
        <v>31</v>
      </c>
      <c r="F262" s="27" t="s">
        <v>51</v>
      </c>
      <c r="G262" s="27" t="s">
        <v>412</v>
      </c>
      <c r="H262" s="40">
        <f ca="1">Tabel1[[#This Row],[KEHADIRAN]]/100</f>
        <v>0.97</v>
      </c>
    </row>
    <row r="263" spans="2:8" x14ac:dyDescent="0.25">
      <c r="B263" s="27">
        <v>261</v>
      </c>
      <c r="C263" s="27" t="s">
        <v>958</v>
      </c>
      <c r="D263" s="27" t="s">
        <v>959</v>
      </c>
      <c r="E263" s="27" t="s">
        <v>31</v>
      </c>
      <c r="F263" s="27" t="s">
        <v>51</v>
      </c>
      <c r="G263" s="27" t="s">
        <v>169</v>
      </c>
      <c r="H263" s="40">
        <f ca="1">Tabel1[[#This Row],[KEHADIRAN]]/100</f>
        <v>0.91</v>
      </c>
    </row>
    <row r="264" spans="2:8" x14ac:dyDescent="0.25">
      <c r="B264" s="27">
        <v>262</v>
      </c>
      <c r="C264" s="27" t="s">
        <v>960</v>
      </c>
      <c r="D264" s="27" t="s">
        <v>961</v>
      </c>
      <c r="E264" s="27" t="s">
        <v>31</v>
      </c>
      <c r="F264" s="27" t="s">
        <v>51</v>
      </c>
      <c r="G264" s="27" t="s">
        <v>146</v>
      </c>
      <c r="H264" s="40">
        <f ca="1">Tabel1[[#This Row],[KEHADIRAN]]/100</f>
        <v>0.84</v>
      </c>
    </row>
    <row r="265" spans="2:8" x14ac:dyDescent="0.25">
      <c r="B265" s="27">
        <v>263</v>
      </c>
      <c r="C265" s="27" t="s">
        <v>962</v>
      </c>
      <c r="D265" s="27" t="s">
        <v>963</v>
      </c>
      <c r="E265" s="27" t="s">
        <v>31</v>
      </c>
      <c r="F265" s="27" t="s">
        <v>51</v>
      </c>
      <c r="G265" s="27" t="s">
        <v>169</v>
      </c>
      <c r="H265" s="40">
        <f ca="1">Tabel1[[#This Row],[KEHADIRAN]]/100</f>
        <v>0.8</v>
      </c>
    </row>
    <row r="266" spans="2:8" x14ac:dyDescent="0.25">
      <c r="B266" s="27">
        <v>264</v>
      </c>
      <c r="C266" s="27" t="s">
        <v>964</v>
      </c>
      <c r="D266" s="27" t="s">
        <v>965</v>
      </c>
      <c r="E266" s="27" t="s">
        <v>31</v>
      </c>
      <c r="F266" s="27" t="s">
        <v>51</v>
      </c>
      <c r="G266" s="27" t="s">
        <v>239</v>
      </c>
      <c r="H266" s="40">
        <f ca="1">Tabel1[[#This Row],[KEHADIRAN]]/100</f>
        <v>0.93</v>
      </c>
    </row>
    <row r="267" spans="2:8" x14ac:dyDescent="0.25">
      <c r="B267" s="27">
        <v>265</v>
      </c>
      <c r="C267" s="27" t="s">
        <v>966</v>
      </c>
      <c r="D267" s="27" t="s">
        <v>967</v>
      </c>
      <c r="E267" s="27" t="s">
        <v>31</v>
      </c>
      <c r="F267" s="27" t="s">
        <v>51</v>
      </c>
      <c r="G267" s="27" t="s">
        <v>229</v>
      </c>
      <c r="H267" s="40">
        <f ca="1">Tabel1[[#This Row],[KEHADIRAN]]/100</f>
        <v>0.92</v>
      </c>
    </row>
    <row r="268" spans="2:8" x14ac:dyDescent="0.25">
      <c r="B268" s="27">
        <v>266</v>
      </c>
      <c r="C268" s="27" t="s">
        <v>968</v>
      </c>
      <c r="D268" s="27" t="s">
        <v>969</v>
      </c>
      <c r="E268" s="27" t="s">
        <v>31</v>
      </c>
      <c r="F268" s="27" t="s">
        <v>51</v>
      </c>
      <c r="G268" s="27" t="s">
        <v>293</v>
      </c>
      <c r="H268" s="40">
        <f ca="1">Tabel1[[#This Row],[KEHADIRAN]]/100</f>
        <v>0.91</v>
      </c>
    </row>
    <row r="269" spans="2:8" x14ac:dyDescent="0.25">
      <c r="B269" s="27">
        <v>267</v>
      </c>
      <c r="C269" s="27" t="s">
        <v>970</v>
      </c>
      <c r="D269" s="27" t="s">
        <v>971</v>
      </c>
      <c r="E269" s="27" t="s">
        <v>31</v>
      </c>
      <c r="F269" s="27" t="s">
        <v>51</v>
      </c>
      <c r="G269" s="27" t="s">
        <v>280</v>
      </c>
      <c r="H269" s="40">
        <f ca="1">Tabel1[[#This Row],[KEHADIRAN]]/100</f>
        <v>0.82</v>
      </c>
    </row>
    <row r="270" spans="2:8" x14ac:dyDescent="0.25">
      <c r="B270" s="27">
        <v>268</v>
      </c>
      <c r="C270" s="27" t="s">
        <v>972</v>
      </c>
      <c r="D270" s="27" t="s">
        <v>973</v>
      </c>
      <c r="E270" s="27" t="s">
        <v>31</v>
      </c>
      <c r="F270" s="27" t="s">
        <v>51</v>
      </c>
      <c r="G270" s="27" t="s">
        <v>298</v>
      </c>
      <c r="H270" s="40">
        <f ca="1">Tabel1[[#This Row],[KEHADIRAN]]/100</f>
        <v>0.83</v>
      </c>
    </row>
    <row r="271" spans="2:8" x14ac:dyDescent="0.25">
      <c r="B271" s="27">
        <v>269</v>
      </c>
      <c r="C271" s="27" t="s">
        <v>974</v>
      </c>
      <c r="D271" s="27" t="s">
        <v>975</v>
      </c>
      <c r="E271" s="27" t="s">
        <v>31</v>
      </c>
      <c r="F271" s="27" t="s">
        <v>51</v>
      </c>
      <c r="G271" s="27" t="s">
        <v>332</v>
      </c>
      <c r="H271" s="40">
        <f ca="1">Tabel1[[#This Row],[KEHADIRAN]]/100</f>
        <v>0.88</v>
      </c>
    </row>
    <row r="272" spans="2:8" x14ac:dyDescent="0.25">
      <c r="B272" s="27">
        <v>270</v>
      </c>
      <c r="C272" s="27" t="s">
        <v>976</v>
      </c>
      <c r="D272" s="27" t="s">
        <v>977</v>
      </c>
      <c r="E272" s="27" t="s">
        <v>31</v>
      </c>
      <c r="F272" s="27" t="s">
        <v>51</v>
      </c>
      <c r="G272" s="27" t="s">
        <v>143</v>
      </c>
      <c r="H272" s="40">
        <f ca="1">Tabel1[[#This Row],[KEHADIRAN]]/100</f>
        <v>0.83</v>
      </c>
    </row>
    <row r="273" spans="2:8" x14ac:dyDescent="0.25">
      <c r="B273" s="27">
        <v>271</v>
      </c>
      <c r="C273" s="27" t="s">
        <v>978</v>
      </c>
      <c r="D273" s="27" t="s">
        <v>979</v>
      </c>
      <c r="E273" s="27" t="s">
        <v>31</v>
      </c>
      <c r="F273" s="27" t="s">
        <v>51</v>
      </c>
      <c r="G273" s="27" t="s">
        <v>257</v>
      </c>
      <c r="H273" s="40">
        <f ca="1">Tabel1[[#This Row],[KEHADIRAN]]/100</f>
        <v>0.86</v>
      </c>
    </row>
    <row r="274" spans="2:8" x14ac:dyDescent="0.25">
      <c r="B274" s="27">
        <v>272</v>
      </c>
      <c r="C274" s="27" t="s">
        <v>980</v>
      </c>
      <c r="D274" s="27" t="s">
        <v>981</v>
      </c>
      <c r="E274" s="27" t="s">
        <v>31</v>
      </c>
      <c r="F274" s="27" t="s">
        <v>51</v>
      </c>
      <c r="G274" s="27" t="s">
        <v>158</v>
      </c>
      <c r="H274" s="40">
        <f ca="1">Tabel1[[#This Row],[KEHADIRAN]]/100</f>
        <v>0.98</v>
      </c>
    </row>
    <row r="275" spans="2:8" x14ac:dyDescent="0.25">
      <c r="B275" s="27">
        <v>273</v>
      </c>
      <c r="C275" s="27" t="s">
        <v>982</v>
      </c>
      <c r="D275" s="27" t="s">
        <v>983</v>
      </c>
      <c r="E275" s="27" t="s">
        <v>31</v>
      </c>
      <c r="F275" s="27" t="s">
        <v>51</v>
      </c>
      <c r="G275" s="27" t="s">
        <v>74</v>
      </c>
      <c r="H275" s="40">
        <f ca="1">Tabel1[[#This Row],[KEHADIRAN]]/100</f>
        <v>0.99</v>
      </c>
    </row>
    <row r="276" spans="2:8" x14ac:dyDescent="0.25">
      <c r="B276" s="27">
        <v>274</v>
      </c>
      <c r="C276" s="27" t="s">
        <v>984</v>
      </c>
      <c r="D276" s="27" t="s">
        <v>985</v>
      </c>
      <c r="E276" s="27" t="s">
        <v>31</v>
      </c>
      <c r="F276" s="27" t="s">
        <v>164</v>
      </c>
      <c r="G276" s="27" t="s">
        <v>36</v>
      </c>
      <c r="H276" s="40">
        <f ca="1">Tabel1[[#This Row],[KEHADIRAN]]/100</f>
        <v>0.89</v>
      </c>
    </row>
    <row r="277" spans="2:8" x14ac:dyDescent="0.25">
      <c r="B277" s="27">
        <v>275</v>
      </c>
      <c r="C277" s="27" t="s">
        <v>986</v>
      </c>
      <c r="D277" s="27" t="s">
        <v>406</v>
      </c>
      <c r="E277" s="27" t="s">
        <v>31</v>
      </c>
      <c r="F277" s="27" t="s">
        <v>51</v>
      </c>
      <c r="G277" s="27" t="s">
        <v>332</v>
      </c>
      <c r="H277" s="40">
        <f ca="1">Tabel1[[#This Row],[KEHADIRAN]]/100</f>
        <v>0.94</v>
      </c>
    </row>
    <row r="278" spans="2:8" x14ac:dyDescent="0.25">
      <c r="B278" s="27">
        <v>276</v>
      </c>
      <c r="C278" s="27" t="s">
        <v>987</v>
      </c>
      <c r="D278" s="27" t="s">
        <v>988</v>
      </c>
      <c r="E278" s="27" t="s">
        <v>31</v>
      </c>
      <c r="F278" s="27" t="s">
        <v>51</v>
      </c>
      <c r="G278" s="27" t="s">
        <v>172</v>
      </c>
      <c r="H278" s="40">
        <f ca="1">Tabel1[[#This Row],[KEHADIRAN]]/100</f>
        <v>0.83</v>
      </c>
    </row>
    <row r="279" spans="2:8" x14ac:dyDescent="0.25">
      <c r="B279" s="27">
        <v>277</v>
      </c>
      <c r="C279" s="27" t="s">
        <v>989</v>
      </c>
      <c r="D279" s="27" t="s">
        <v>990</v>
      </c>
      <c r="E279" s="27" t="s">
        <v>31</v>
      </c>
      <c r="F279" s="27" t="s">
        <v>51</v>
      </c>
      <c r="G279" s="27" t="s">
        <v>115</v>
      </c>
      <c r="H279" s="40">
        <f ca="1">Tabel1[[#This Row],[KEHADIRAN]]/100</f>
        <v>0.94</v>
      </c>
    </row>
    <row r="280" spans="2:8" x14ac:dyDescent="0.25">
      <c r="B280" s="27">
        <v>278</v>
      </c>
      <c r="C280" s="27" t="s">
        <v>991</v>
      </c>
      <c r="D280" s="27" t="s">
        <v>992</v>
      </c>
      <c r="E280" s="27" t="s">
        <v>31</v>
      </c>
      <c r="F280" s="27" t="s">
        <v>51</v>
      </c>
      <c r="G280" s="27" t="s">
        <v>267</v>
      </c>
      <c r="H280" s="40">
        <f ca="1">Tabel1[[#This Row],[KEHADIRAN]]/100</f>
        <v>0.9</v>
      </c>
    </row>
    <row r="281" spans="2:8" x14ac:dyDescent="0.25">
      <c r="B281" s="27">
        <v>279</v>
      </c>
      <c r="C281" s="27" t="s">
        <v>993</v>
      </c>
      <c r="D281" s="27" t="s">
        <v>994</v>
      </c>
      <c r="E281" s="27" t="s">
        <v>31</v>
      </c>
      <c r="F281" s="27" t="s">
        <v>51</v>
      </c>
      <c r="G281" s="27" t="s">
        <v>139</v>
      </c>
      <c r="H281" s="40">
        <f ca="1">Tabel1[[#This Row],[KEHADIRAN]]/100</f>
        <v>0.81</v>
      </c>
    </row>
    <row r="282" spans="2:8" x14ac:dyDescent="0.25">
      <c r="B282" s="27">
        <v>280</v>
      </c>
      <c r="C282" s="27" t="s">
        <v>995</v>
      </c>
      <c r="D282" s="27" t="s">
        <v>996</v>
      </c>
      <c r="E282" s="27" t="s">
        <v>31</v>
      </c>
      <c r="F282" s="27" t="s">
        <v>51</v>
      </c>
      <c r="G282" s="27" t="s">
        <v>293</v>
      </c>
      <c r="H282" s="40">
        <f ca="1">Tabel1[[#This Row],[KEHADIRAN]]/100</f>
        <v>0.82</v>
      </c>
    </row>
    <row r="283" spans="2:8" x14ac:dyDescent="0.25">
      <c r="B283" s="27">
        <v>281</v>
      </c>
      <c r="C283" s="27" t="s">
        <v>997</v>
      </c>
      <c r="D283" s="27" t="s">
        <v>998</v>
      </c>
      <c r="E283" s="27" t="s">
        <v>31</v>
      </c>
      <c r="F283" s="27" t="s">
        <v>51</v>
      </c>
      <c r="G283" s="27" t="s">
        <v>127</v>
      </c>
      <c r="H283" s="40">
        <f ca="1">Tabel1[[#This Row],[KEHADIRAN]]/100</f>
        <v>0.86</v>
      </c>
    </row>
    <row r="284" spans="2:8" x14ac:dyDescent="0.25">
      <c r="B284" s="27">
        <v>282</v>
      </c>
      <c r="C284" s="27" t="s">
        <v>999</v>
      </c>
      <c r="D284" s="27" t="s">
        <v>1000</v>
      </c>
      <c r="E284" s="27" t="s">
        <v>31</v>
      </c>
      <c r="F284" s="27" t="s">
        <v>51</v>
      </c>
      <c r="G284" s="27" t="s">
        <v>412</v>
      </c>
      <c r="H284" s="40">
        <f ca="1">Tabel1[[#This Row],[KEHADIRAN]]/100</f>
        <v>0.9</v>
      </c>
    </row>
    <row r="285" spans="2:8" x14ac:dyDescent="0.25">
      <c r="B285" s="27">
        <v>283</v>
      </c>
      <c r="C285" s="27" t="s">
        <v>1001</v>
      </c>
      <c r="D285" s="27" t="s">
        <v>1002</v>
      </c>
      <c r="E285" s="27" t="s">
        <v>31</v>
      </c>
      <c r="F285" s="27" t="s">
        <v>51</v>
      </c>
      <c r="G285" s="27" t="s">
        <v>332</v>
      </c>
      <c r="H285" s="40">
        <f ca="1">Tabel1[[#This Row],[KEHADIRAN]]/100</f>
        <v>0.81</v>
      </c>
    </row>
    <row r="286" spans="2:8" x14ac:dyDescent="0.25">
      <c r="B286" s="27">
        <v>284</v>
      </c>
      <c r="C286" s="27" t="s">
        <v>1003</v>
      </c>
      <c r="D286" s="27" t="s">
        <v>1004</v>
      </c>
      <c r="E286" s="27" t="s">
        <v>31</v>
      </c>
      <c r="F286" s="27" t="s">
        <v>51</v>
      </c>
      <c r="G286" s="27" t="s">
        <v>402</v>
      </c>
      <c r="H286" s="40">
        <f ca="1">Tabel1[[#This Row],[KEHADIRAN]]/100</f>
        <v>0.94</v>
      </c>
    </row>
    <row r="287" spans="2:8" x14ac:dyDescent="0.25">
      <c r="B287" s="27">
        <v>285</v>
      </c>
      <c r="C287" s="27" t="s">
        <v>1005</v>
      </c>
      <c r="D287" s="27" t="s">
        <v>1006</v>
      </c>
      <c r="E287" s="27" t="s">
        <v>31</v>
      </c>
      <c r="F287" s="27" t="s">
        <v>51</v>
      </c>
      <c r="G287" s="27" t="s">
        <v>414</v>
      </c>
      <c r="H287" s="40">
        <f ca="1">Tabel1[[#This Row],[KEHADIRAN]]/100</f>
        <v>0.81</v>
      </c>
    </row>
    <row r="288" spans="2:8" x14ac:dyDescent="0.25">
      <c r="B288" s="27">
        <v>286</v>
      </c>
      <c r="C288" s="27" t="s">
        <v>1007</v>
      </c>
      <c r="D288" s="27" t="s">
        <v>1008</v>
      </c>
      <c r="E288" s="27" t="s">
        <v>31</v>
      </c>
      <c r="F288" s="27" t="s">
        <v>51</v>
      </c>
      <c r="G288" s="27" t="s">
        <v>409</v>
      </c>
      <c r="H288" s="40">
        <f ca="1">Tabel1[[#This Row],[KEHADIRAN]]/100</f>
        <v>0.91</v>
      </c>
    </row>
    <row r="289" spans="2:8" x14ac:dyDescent="0.25">
      <c r="B289" s="27">
        <v>287</v>
      </c>
      <c r="C289" s="27" t="s">
        <v>1009</v>
      </c>
      <c r="D289" s="27" t="s">
        <v>1010</v>
      </c>
      <c r="E289" s="27" t="s">
        <v>31</v>
      </c>
      <c r="F289" s="27" t="s">
        <v>109</v>
      </c>
      <c r="G289" s="27" t="s">
        <v>355</v>
      </c>
      <c r="H289" s="40">
        <f ca="1">Tabel1[[#This Row],[KEHADIRAN]]/100</f>
        <v>0.93</v>
      </c>
    </row>
    <row r="290" spans="2:8" x14ac:dyDescent="0.25">
      <c r="B290" s="27">
        <v>288</v>
      </c>
      <c r="C290" s="27" t="s">
        <v>1011</v>
      </c>
      <c r="D290" s="27" t="s">
        <v>1012</v>
      </c>
      <c r="E290" s="27" t="s">
        <v>31</v>
      </c>
      <c r="F290" s="27" t="s">
        <v>51</v>
      </c>
      <c r="G290" s="27" t="s">
        <v>280</v>
      </c>
      <c r="H290" s="40">
        <f ca="1">Tabel1[[#This Row],[KEHADIRAN]]/100</f>
        <v>0.92</v>
      </c>
    </row>
    <row r="291" spans="2:8" x14ac:dyDescent="0.25">
      <c r="B291" s="27">
        <v>289</v>
      </c>
      <c r="C291" s="27" t="s">
        <v>1013</v>
      </c>
      <c r="D291" s="27" t="s">
        <v>1014</v>
      </c>
      <c r="E291" s="27" t="s">
        <v>31</v>
      </c>
      <c r="F291" s="27" t="s">
        <v>51</v>
      </c>
      <c r="G291" s="27" t="s">
        <v>323</v>
      </c>
      <c r="H291" s="40">
        <f ca="1">Tabel1[[#This Row],[KEHADIRAN]]/100</f>
        <v>0.93</v>
      </c>
    </row>
    <row r="292" spans="2:8" x14ac:dyDescent="0.25">
      <c r="B292" s="27">
        <v>290</v>
      </c>
      <c r="C292" s="27" t="s">
        <v>1015</v>
      </c>
      <c r="D292" s="27" t="s">
        <v>1016</v>
      </c>
      <c r="E292" s="27" t="s">
        <v>31</v>
      </c>
      <c r="F292" s="27" t="s">
        <v>51</v>
      </c>
      <c r="G292" s="27" t="s">
        <v>143</v>
      </c>
      <c r="H292" s="40">
        <f ca="1">Tabel1[[#This Row],[KEHADIRAN]]/100</f>
        <v>0.99</v>
      </c>
    </row>
    <row r="293" spans="2:8" x14ac:dyDescent="0.25">
      <c r="B293" s="27">
        <v>291</v>
      </c>
      <c r="C293" s="27" t="s">
        <v>1017</v>
      </c>
      <c r="D293" s="27" t="s">
        <v>1018</v>
      </c>
      <c r="E293" s="27" t="s">
        <v>31</v>
      </c>
      <c r="F293" s="27" t="s">
        <v>51</v>
      </c>
      <c r="G293" s="27" t="s">
        <v>117</v>
      </c>
      <c r="H293" s="40">
        <f ca="1">Tabel1[[#This Row],[KEHADIRAN]]/100</f>
        <v>0.89</v>
      </c>
    </row>
    <row r="294" spans="2:8" x14ac:dyDescent="0.25">
      <c r="B294" s="27">
        <v>292</v>
      </c>
      <c r="C294" s="27" t="s">
        <v>1019</v>
      </c>
      <c r="D294" s="27" t="s">
        <v>1020</v>
      </c>
      <c r="E294" s="27" t="s">
        <v>31</v>
      </c>
      <c r="F294" s="27" t="s">
        <v>51</v>
      </c>
      <c r="G294" s="27" t="s">
        <v>355</v>
      </c>
      <c r="H294" s="40">
        <f ca="1">Tabel1[[#This Row],[KEHADIRAN]]/100</f>
        <v>0.97</v>
      </c>
    </row>
    <row r="295" spans="2:8" x14ac:dyDescent="0.25">
      <c r="B295" s="27">
        <v>293</v>
      </c>
      <c r="C295" s="27" t="s">
        <v>1021</v>
      </c>
      <c r="D295" s="27" t="s">
        <v>1022</v>
      </c>
      <c r="E295" s="27" t="s">
        <v>31</v>
      </c>
      <c r="F295" s="27" t="s">
        <v>51</v>
      </c>
      <c r="G295" s="27" t="s">
        <v>418</v>
      </c>
      <c r="H295" s="40">
        <f ca="1">Tabel1[[#This Row],[KEHADIRAN]]/100</f>
        <v>0.98</v>
      </c>
    </row>
    <row r="296" spans="2:8" x14ac:dyDescent="0.25">
      <c r="B296" s="27">
        <v>294</v>
      </c>
      <c r="C296" s="27" t="s">
        <v>1023</v>
      </c>
      <c r="D296" s="27" t="s">
        <v>1024</v>
      </c>
      <c r="E296" s="27" t="s">
        <v>31</v>
      </c>
      <c r="F296" s="27" t="s">
        <v>51</v>
      </c>
      <c r="G296" s="27" t="s">
        <v>241</v>
      </c>
      <c r="H296" s="40">
        <f ca="1">Tabel1[[#This Row],[KEHADIRAN]]/100</f>
        <v>0.8</v>
      </c>
    </row>
    <row r="297" spans="2:8" x14ac:dyDescent="0.25">
      <c r="B297" s="27">
        <v>295</v>
      </c>
      <c r="C297" s="27" t="s">
        <v>1025</v>
      </c>
      <c r="D297" s="27" t="s">
        <v>1026</v>
      </c>
      <c r="E297" s="27" t="s">
        <v>31</v>
      </c>
      <c r="F297" s="27" t="s">
        <v>51</v>
      </c>
      <c r="G297" s="27" t="s">
        <v>146</v>
      </c>
      <c r="H297" s="40">
        <f ca="1">Tabel1[[#This Row],[KEHADIRAN]]/100</f>
        <v>0.82</v>
      </c>
    </row>
    <row r="298" spans="2:8" x14ac:dyDescent="0.25">
      <c r="B298" s="27">
        <v>296</v>
      </c>
      <c r="C298" s="27" t="s">
        <v>1027</v>
      </c>
      <c r="D298" s="27" t="s">
        <v>1028</v>
      </c>
      <c r="E298" s="27" t="s">
        <v>31</v>
      </c>
      <c r="F298" s="27" t="s">
        <v>51</v>
      </c>
      <c r="G298" s="27" t="s">
        <v>234</v>
      </c>
      <c r="H298" s="40">
        <f ca="1">Tabel1[[#This Row],[KEHADIRAN]]/100</f>
        <v>0.8</v>
      </c>
    </row>
    <row r="299" spans="2:8" x14ac:dyDescent="0.25">
      <c r="B299" s="27">
        <v>297</v>
      </c>
      <c r="C299" s="27" t="s">
        <v>1029</v>
      </c>
      <c r="D299" s="27" t="s">
        <v>1030</v>
      </c>
      <c r="E299" s="27" t="s">
        <v>31</v>
      </c>
      <c r="F299" s="27" t="s">
        <v>51</v>
      </c>
      <c r="G299" s="27" t="s">
        <v>143</v>
      </c>
      <c r="H299" s="40">
        <f ca="1">Tabel1[[#This Row],[KEHADIRAN]]/100</f>
        <v>0.96</v>
      </c>
    </row>
    <row r="300" spans="2:8" x14ac:dyDescent="0.25">
      <c r="B300" s="27">
        <v>298</v>
      </c>
      <c r="C300" s="27" t="s">
        <v>1031</v>
      </c>
      <c r="D300" s="27" t="s">
        <v>825</v>
      </c>
      <c r="E300" s="27" t="s">
        <v>31</v>
      </c>
      <c r="F300" s="27" t="s">
        <v>135</v>
      </c>
      <c r="G300" s="27" t="s">
        <v>121</v>
      </c>
      <c r="H300" s="40">
        <f ca="1">Tabel1[[#This Row],[KEHADIRAN]]/100</f>
        <v>0.99</v>
      </c>
    </row>
    <row r="301" spans="2:8" x14ac:dyDescent="0.25">
      <c r="B301" s="27">
        <v>299</v>
      </c>
      <c r="C301" s="27" t="s">
        <v>1032</v>
      </c>
      <c r="D301" s="27" t="s">
        <v>1033</v>
      </c>
      <c r="E301" s="27" t="s">
        <v>31</v>
      </c>
      <c r="F301" s="27" t="s">
        <v>51</v>
      </c>
      <c r="G301" s="27" t="s">
        <v>280</v>
      </c>
      <c r="H301" s="40">
        <f ca="1">Tabel1[[#This Row],[KEHADIRAN]]/100</f>
        <v>0.91</v>
      </c>
    </row>
    <row r="302" spans="2:8" x14ac:dyDescent="0.25">
      <c r="B302" s="27">
        <v>300</v>
      </c>
      <c r="C302" s="27" t="s">
        <v>1034</v>
      </c>
      <c r="D302" s="27" t="s">
        <v>1035</v>
      </c>
      <c r="E302" s="27" t="s">
        <v>31</v>
      </c>
      <c r="F302" s="27" t="s">
        <v>51</v>
      </c>
      <c r="G302" s="27" t="s">
        <v>177</v>
      </c>
      <c r="H302" s="40">
        <f ca="1">Tabel1[[#This Row],[KEHADIRAN]]/100</f>
        <v>0.82</v>
      </c>
    </row>
    <row r="303" spans="2:8" x14ac:dyDescent="0.25">
      <c r="B303" s="27">
        <v>301</v>
      </c>
      <c r="C303" s="27" t="s">
        <v>1036</v>
      </c>
      <c r="D303" s="27" t="s">
        <v>1037</v>
      </c>
      <c r="E303" s="27" t="s">
        <v>31</v>
      </c>
      <c r="F303" s="27" t="s">
        <v>51</v>
      </c>
      <c r="G303" s="27" t="s">
        <v>80</v>
      </c>
      <c r="H303" s="40">
        <f ca="1">Tabel1[[#This Row],[KEHADIRAN]]/100</f>
        <v>0.83</v>
      </c>
    </row>
    <row r="304" spans="2:8" x14ac:dyDescent="0.25">
      <c r="B304" s="27">
        <v>302</v>
      </c>
      <c r="C304" s="27" t="s">
        <v>1038</v>
      </c>
      <c r="D304" s="27" t="s">
        <v>1039</v>
      </c>
      <c r="E304" s="27" t="s">
        <v>31</v>
      </c>
      <c r="F304" s="27" t="s">
        <v>51</v>
      </c>
      <c r="G304" s="27" t="s">
        <v>146</v>
      </c>
      <c r="H304" s="40">
        <f ca="1">Tabel1[[#This Row],[KEHADIRAN]]/100</f>
        <v>0.91</v>
      </c>
    </row>
    <row r="305" spans="2:8" x14ac:dyDescent="0.25">
      <c r="B305" s="27">
        <v>303</v>
      </c>
      <c r="C305" s="27" t="s">
        <v>1040</v>
      </c>
      <c r="D305" s="27" t="s">
        <v>1041</v>
      </c>
      <c r="E305" s="27" t="s">
        <v>31</v>
      </c>
      <c r="F305" s="27" t="s">
        <v>51</v>
      </c>
      <c r="G305" s="27" t="s">
        <v>234</v>
      </c>
      <c r="H305" s="40">
        <f ca="1">Tabel1[[#This Row],[KEHADIRAN]]/100</f>
        <v>0.99</v>
      </c>
    </row>
    <row r="306" spans="2:8" x14ac:dyDescent="0.25">
      <c r="B306" s="27">
        <v>304</v>
      </c>
      <c r="C306" s="27" t="s">
        <v>1042</v>
      </c>
      <c r="D306" s="27" t="s">
        <v>1043</v>
      </c>
      <c r="E306" s="27" t="s">
        <v>31</v>
      </c>
      <c r="F306" s="27" t="s">
        <v>51</v>
      </c>
      <c r="G306" s="27" t="s">
        <v>248</v>
      </c>
      <c r="H306" s="40">
        <f ca="1">Tabel1[[#This Row],[KEHADIRAN]]/100</f>
        <v>1</v>
      </c>
    </row>
    <row r="307" spans="2:8" x14ac:dyDescent="0.25">
      <c r="B307" s="27">
        <v>305</v>
      </c>
      <c r="C307" s="27" t="s">
        <v>1044</v>
      </c>
      <c r="D307" s="27" t="s">
        <v>1045</v>
      </c>
      <c r="E307" s="27" t="s">
        <v>31</v>
      </c>
      <c r="F307" s="27" t="s">
        <v>51</v>
      </c>
      <c r="G307" s="27" t="s">
        <v>121</v>
      </c>
      <c r="H307" s="40">
        <f ca="1">Tabel1[[#This Row],[KEHADIRAN]]/100</f>
        <v>0.93</v>
      </c>
    </row>
    <row r="308" spans="2:8" x14ac:dyDescent="0.25">
      <c r="B308" s="27">
        <v>306</v>
      </c>
      <c r="C308" s="27" t="s">
        <v>1046</v>
      </c>
      <c r="D308" s="27" t="s">
        <v>1047</v>
      </c>
      <c r="E308" s="27" t="s">
        <v>31</v>
      </c>
      <c r="F308" s="27" t="s">
        <v>51</v>
      </c>
      <c r="G308" s="27" t="s">
        <v>169</v>
      </c>
      <c r="H308" s="40">
        <f ca="1">Tabel1[[#This Row],[KEHADIRAN]]/100</f>
        <v>0.87</v>
      </c>
    </row>
    <row r="309" spans="2:8" x14ac:dyDescent="0.25">
      <c r="B309" s="27">
        <v>307</v>
      </c>
      <c r="C309" s="27" t="s">
        <v>1048</v>
      </c>
      <c r="D309" s="27" t="s">
        <v>274</v>
      </c>
      <c r="E309" s="27" t="s">
        <v>31</v>
      </c>
      <c r="F309" s="27" t="s">
        <v>51</v>
      </c>
      <c r="G309" s="27" t="s">
        <v>74</v>
      </c>
      <c r="H309" s="40">
        <f ca="1">Tabel1[[#This Row],[KEHADIRAN]]/100</f>
        <v>0.95</v>
      </c>
    </row>
    <row r="310" spans="2:8" x14ac:dyDescent="0.25">
      <c r="B310" s="27">
        <v>308</v>
      </c>
      <c r="C310" s="27" t="s">
        <v>1049</v>
      </c>
      <c r="D310" s="27" t="s">
        <v>1050</v>
      </c>
      <c r="E310" s="27" t="s">
        <v>31</v>
      </c>
      <c r="F310" s="27" t="s">
        <v>51</v>
      </c>
      <c r="G310" s="27" t="s">
        <v>185</v>
      </c>
      <c r="H310" s="40">
        <f ca="1">Tabel1[[#This Row],[KEHADIRAN]]/100</f>
        <v>0.94</v>
      </c>
    </row>
    <row r="311" spans="2:8" x14ac:dyDescent="0.25">
      <c r="B311" s="27">
        <v>309</v>
      </c>
      <c r="C311" s="27" t="s">
        <v>1051</v>
      </c>
      <c r="D311" s="27" t="s">
        <v>1052</v>
      </c>
      <c r="E311" s="27" t="s">
        <v>31</v>
      </c>
      <c r="F311" s="27" t="s">
        <v>51</v>
      </c>
      <c r="G311" s="27" t="s">
        <v>257</v>
      </c>
      <c r="H311" s="40">
        <f ca="1">Tabel1[[#This Row],[KEHADIRAN]]/100</f>
        <v>0.91</v>
      </c>
    </row>
    <row r="312" spans="2:8" x14ac:dyDescent="0.25">
      <c r="B312" s="27">
        <v>310</v>
      </c>
      <c r="C312" s="27" t="s">
        <v>1053</v>
      </c>
      <c r="D312" s="27" t="s">
        <v>1054</v>
      </c>
      <c r="E312" s="27" t="s">
        <v>31</v>
      </c>
      <c r="F312" s="27" t="s">
        <v>51</v>
      </c>
      <c r="G312" s="27" t="s">
        <v>215</v>
      </c>
      <c r="H312" s="40">
        <f ca="1">Tabel1[[#This Row],[KEHADIRAN]]/100</f>
        <v>0.84</v>
      </c>
    </row>
    <row r="313" spans="2:8" x14ac:dyDescent="0.25">
      <c r="B313" s="27">
        <v>311</v>
      </c>
      <c r="C313" s="27" t="s">
        <v>1055</v>
      </c>
      <c r="D313" s="27" t="s">
        <v>1056</v>
      </c>
      <c r="E313" s="27" t="s">
        <v>31</v>
      </c>
      <c r="F313" s="27" t="s">
        <v>51</v>
      </c>
      <c r="G313" s="27" t="s">
        <v>190</v>
      </c>
      <c r="H313" s="40">
        <f ca="1">Tabel1[[#This Row],[KEHADIRAN]]/100</f>
        <v>0.97</v>
      </c>
    </row>
    <row r="314" spans="2:8" x14ac:dyDescent="0.25">
      <c r="B314" s="27">
        <v>312</v>
      </c>
      <c r="C314" s="27" t="s">
        <v>1057</v>
      </c>
      <c r="D314" s="27" t="s">
        <v>1058</v>
      </c>
      <c r="E314" s="27" t="s">
        <v>31</v>
      </c>
      <c r="F314" s="27" t="s">
        <v>72</v>
      </c>
      <c r="G314" s="27" t="s">
        <v>1059</v>
      </c>
      <c r="H314" s="40">
        <f ca="1">Tabel1[[#This Row],[KEHADIRAN]]/100</f>
        <v>0.94</v>
      </c>
    </row>
    <row r="315" spans="2:8" x14ac:dyDescent="0.25">
      <c r="B315" s="27">
        <v>313</v>
      </c>
      <c r="C315" s="27" t="s">
        <v>1060</v>
      </c>
      <c r="D315" s="27" t="s">
        <v>1061</v>
      </c>
      <c r="E315" s="27" t="s">
        <v>31</v>
      </c>
      <c r="F315" s="27" t="s">
        <v>51</v>
      </c>
      <c r="G315" s="27" t="s">
        <v>212</v>
      </c>
      <c r="H315" s="40">
        <f ca="1">Tabel1[[#This Row],[KEHADIRAN]]/100</f>
        <v>0.84</v>
      </c>
    </row>
    <row r="316" spans="2:8" x14ac:dyDescent="0.25">
      <c r="B316" s="27">
        <v>314</v>
      </c>
      <c r="C316" s="27" t="s">
        <v>1062</v>
      </c>
      <c r="D316" s="27" t="s">
        <v>1063</v>
      </c>
      <c r="E316" s="27" t="s">
        <v>31</v>
      </c>
      <c r="F316" s="27" t="s">
        <v>51</v>
      </c>
      <c r="G316" s="27" t="s">
        <v>141</v>
      </c>
      <c r="H316" s="40">
        <f ca="1">Tabel1[[#This Row],[KEHADIRAN]]/100</f>
        <v>0.88</v>
      </c>
    </row>
    <row r="317" spans="2:8" x14ac:dyDescent="0.25">
      <c r="B317" s="27">
        <v>315</v>
      </c>
      <c r="C317" s="27" t="s">
        <v>1064</v>
      </c>
      <c r="D317" s="27" t="s">
        <v>419</v>
      </c>
      <c r="E317" s="27" t="s">
        <v>31</v>
      </c>
      <c r="F317" s="27" t="s">
        <v>51</v>
      </c>
      <c r="G317" s="27" t="s">
        <v>111</v>
      </c>
      <c r="H317" s="40">
        <f ca="1">Tabel1[[#This Row],[KEHADIRAN]]/100</f>
        <v>0.8</v>
      </c>
    </row>
    <row r="318" spans="2:8" x14ac:dyDescent="0.25">
      <c r="B318" s="27">
        <v>316</v>
      </c>
      <c r="C318" s="27" t="s">
        <v>1065</v>
      </c>
      <c r="D318" s="27" t="s">
        <v>1066</v>
      </c>
      <c r="E318" s="27" t="s">
        <v>31</v>
      </c>
      <c r="F318" s="27" t="s">
        <v>51</v>
      </c>
      <c r="G318" s="27" t="s">
        <v>248</v>
      </c>
      <c r="H318" s="40">
        <f ca="1">Tabel1[[#This Row],[KEHADIRAN]]/100</f>
        <v>0.88</v>
      </c>
    </row>
    <row r="319" spans="2:8" x14ac:dyDescent="0.25">
      <c r="B319" s="27">
        <v>317</v>
      </c>
      <c r="C319" s="27" t="s">
        <v>1067</v>
      </c>
      <c r="D319" s="27" t="s">
        <v>1068</v>
      </c>
      <c r="E319" s="27" t="s">
        <v>31</v>
      </c>
      <c r="F319" s="27" t="s">
        <v>51</v>
      </c>
      <c r="G319" s="27" t="s">
        <v>188</v>
      </c>
      <c r="H319" s="40">
        <f ca="1">Tabel1[[#This Row],[KEHADIRAN]]/100</f>
        <v>0.93</v>
      </c>
    </row>
    <row r="320" spans="2:8" x14ac:dyDescent="0.25">
      <c r="B320" s="27">
        <v>318</v>
      </c>
      <c r="C320" s="27" t="s">
        <v>1069</v>
      </c>
      <c r="D320" s="27" t="s">
        <v>1070</v>
      </c>
      <c r="E320" s="27" t="s">
        <v>31</v>
      </c>
      <c r="F320" s="27" t="s">
        <v>51</v>
      </c>
      <c r="G320" s="27" t="s">
        <v>188</v>
      </c>
      <c r="H320" s="40">
        <f ca="1">Tabel1[[#This Row],[KEHADIRAN]]/100</f>
        <v>0.83</v>
      </c>
    </row>
    <row r="321" spans="2:8" x14ac:dyDescent="0.25">
      <c r="B321" s="27">
        <v>319</v>
      </c>
      <c r="C321" s="27" t="s">
        <v>1071</v>
      </c>
      <c r="D321" s="27" t="s">
        <v>1072</v>
      </c>
      <c r="E321" s="27" t="s">
        <v>31</v>
      </c>
      <c r="F321" s="27" t="s">
        <v>51</v>
      </c>
      <c r="G321" s="27" t="s">
        <v>132</v>
      </c>
      <c r="H321" s="40">
        <f ca="1">Tabel1[[#This Row],[KEHADIRAN]]/100</f>
        <v>0.86</v>
      </c>
    </row>
    <row r="322" spans="2:8" x14ac:dyDescent="0.25">
      <c r="B322" s="27">
        <v>320</v>
      </c>
      <c r="C322" s="27" t="s">
        <v>1073</v>
      </c>
      <c r="D322" s="27" t="s">
        <v>1074</v>
      </c>
      <c r="E322" s="27" t="s">
        <v>31</v>
      </c>
      <c r="F322" s="27" t="s">
        <v>51</v>
      </c>
      <c r="G322" s="27" t="s">
        <v>113</v>
      </c>
      <c r="H322" s="40">
        <f ca="1">Tabel1[[#This Row],[KEHADIRAN]]/100</f>
        <v>0.84</v>
      </c>
    </row>
    <row r="323" spans="2:8" x14ac:dyDescent="0.25">
      <c r="B323" s="27">
        <v>321</v>
      </c>
      <c r="C323" s="27" t="s">
        <v>1075</v>
      </c>
      <c r="D323" s="27" t="s">
        <v>1076</v>
      </c>
      <c r="E323" s="27" t="s">
        <v>31</v>
      </c>
      <c r="F323" s="27" t="s">
        <v>51</v>
      </c>
      <c r="G323" s="27" t="s">
        <v>402</v>
      </c>
      <c r="H323" s="40">
        <f ca="1">Tabel1[[#This Row],[KEHADIRAN]]/100</f>
        <v>0.88</v>
      </c>
    </row>
    <row r="324" spans="2:8" x14ac:dyDescent="0.25">
      <c r="B324" s="27">
        <v>322</v>
      </c>
      <c r="C324" s="27" t="s">
        <v>1077</v>
      </c>
      <c r="D324" s="27" t="s">
        <v>1078</v>
      </c>
      <c r="E324" s="27" t="s">
        <v>31</v>
      </c>
      <c r="F324" s="27" t="s">
        <v>166</v>
      </c>
      <c r="G324" s="27" t="s">
        <v>252</v>
      </c>
      <c r="H324" s="40">
        <f ca="1">Tabel1[[#This Row],[KEHADIRAN]]/100</f>
        <v>0</v>
      </c>
    </row>
    <row r="325" spans="2:8" x14ac:dyDescent="0.25">
      <c r="B325" s="27">
        <v>323</v>
      </c>
      <c r="C325" s="27" t="s">
        <v>1079</v>
      </c>
      <c r="D325" s="27" t="s">
        <v>1080</v>
      </c>
      <c r="E325" s="27" t="s">
        <v>31</v>
      </c>
      <c r="F325" s="27" t="s">
        <v>223</v>
      </c>
      <c r="G325" s="27" t="s">
        <v>1081</v>
      </c>
      <c r="H325" s="40">
        <f ca="1">Tabel1[[#This Row],[KEHADIRAN]]/100</f>
        <v>0.81</v>
      </c>
    </row>
    <row r="326" spans="2:8" x14ac:dyDescent="0.25">
      <c r="B326" s="27">
        <v>324</v>
      </c>
      <c r="C326" s="27" t="s">
        <v>1082</v>
      </c>
      <c r="D326" s="27" t="s">
        <v>1083</v>
      </c>
      <c r="E326" s="27" t="s">
        <v>31</v>
      </c>
      <c r="F326" s="27" t="s">
        <v>51</v>
      </c>
      <c r="G326" s="27" t="s">
        <v>122</v>
      </c>
      <c r="H326" s="40">
        <f ca="1">Tabel1[[#This Row],[KEHADIRAN]]/100</f>
        <v>0.83</v>
      </c>
    </row>
    <row r="327" spans="2:8" x14ac:dyDescent="0.25">
      <c r="B327" s="27">
        <v>325</v>
      </c>
      <c r="C327" s="27" t="s">
        <v>1084</v>
      </c>
      <c r="D327" s="27" t="s">
        <v>1085</v>
      </c>
      <c r="E327" s="27" t="s">
        <v>31</v>
      </c>
      <c r="F327" s="27" t="s">
        <v>51</v>
      </c>
      <c r="G327" s="27" t="s">
        <v>181</v>
      </c>
      <c r="H327" s="40">
        <f ca="1">Tabel1[[#This Row],[KEHADIRAN]]/100</f>
        <v>0.8</v>
      </c>
    </row>
    <row r="328" spans="2:8" x14ac:dyDescent="0.25">
      <c r="B328" s="27">
        <v>326</v>
      </c>
      <c r="C328" s="27" t="s">
        <v>1086</v>
      </c>
      <c r="D328" s="27" t="s">
        <v>221</v>
      </c>
      <c r="E328" s="27" t="s">
        <v>31</v>
      </c>
      <c r="F328" s="27" t="s">
        <v>51</v>
      </c>
      <c r="G328" s="27" t="s">
        <v>130</v>
      </c>
      <c r="H328" s="40">
        <f ca="1">Tabel1[[#This Row],[KEHADIRAN]]/100</f>
        <v>0.95</v>
      </c>
    </row>
    <row r="329" spans="2:8" x14ac:dyDescent="0.25">
      <c r="B329" s="27">
        <v>327</v>
      </c>
      <c r="C329" s="27" t="s">
        <v>1087</v>
      </c>
      <c r="D329" s="27" t="s">
        <v>1088</v>
      </c>
      <c r="E329" s="27" t="s">
        <v>31</v>
      </c>
      <c r="F329" s="27" t="s">
        <v>164</v>
      </c>
      <c r="G329" s="27" t="s">
        <v>733</v>
      </c>
      <c r="H329" s="40">
        <f ca="1">Tabel1[[#This Row],[KEHADIRAN]]/100</f>
        <v>0.97</v>
      </c>
    </row>
    <row r="330" spans="2:8" x14ac:dyDescent="0.25">
      <c r="B330" s="27">
        <v>328</v>
      </c>
      <c r="C330" s="27" t="s">
        <v>1089</v>
      </c>
      <c r="D330" s="27" t="s">
        <v>1090</v>
      </c>
      <c r="E330" s="27" t="s">
        <v>31</v>
      </c>
      <c r="F330" s="27" t="s">
        <v>109</v>
      </c>
      <c r="G330" s="27" t="s">
        <v>288</v>
      </c>
      <c r="H330" s="40">
        <f ca="1">Tabel1[[#This Row],[KEHADIRAN]]/100</f>
        <v>0.99</v>
      </c>
    </row>
    <row r="331" spans="2:8" x14ac:dyDescent="0.25">
      <c r="B331" s="27">
        <v>329</v>
      </c>
      <c r="C331" s="27" t="s">
        <v>1091</v>
      </c>
      <c r="D331" s="27" t="s">
        <v>1092</v>
      </c>
      <c r="E331" s="27" t="s">
        <v>31</v>
      </c>
      <c r="F331" s="27" t="s">
        <v>51</v>
      </c>
      <c r="G331" s="27" t="s">
        <v>169</v>
      </c>
      <c r="H331" s="40">
        <f ca="1">Tabel1[[#This Row],[KEHADIRAN]]/100</f>
        <v>0.96</v>
      </c>
    </row>
    <row r="332" spans="2:8" x14ac:dyDescent="0.25">
      <c r="B332" s="27">
        <v>330</v>
      </c>
      <c r="C332" s="27" t="s">
        <v>1093</v>
      </c>
      <c r="D332" s="27" t="s">
        <v>1094</v>
      </c>
      <c r="E332" s="27" t="s">
        <v>31</v>
      </c>
      <c r="F332" s="27" t="s">
        <v>51</v>
      </c>
      <c r="G332" s="27" t="s">
        <v>405</v>
      </c>
      <c r="H332" s="40">
        <f ca="1">Tabel1[[#This Row],[KEHADIRAN]]/100</f>
        <v>0.82</v>
      </c>
    </row>
    <row r="333" spans="2:8" x14ac:dyDescent="0.25">
      <c r="B333" s="27">
        <v>331</v>
      </c>
      <c r="C333" s="27" t="s">
        <v>1095</v>
      </c>
      <c r="D333" s="27" t="s">
        <v>1096</v>
      </c>
      <c r="E333" s="27" t="s">
        <v>31</v>
      </c>
      <c r="F333" s="27" t="s">
        <v>51</v>
      </c>
      <c r="G333" s="27" t="s">
        <v>298</v>
      </c>
      <c r="H333" s="40">
        <f ca="1">Tabel1[[#This Row],[KEHADIRAN]]/100</f>
        <v>0.98</v>
      </c>
    </row>
    <row r="334" spans="2:8" x14ac:dyDescent="0.25">
      <c r="B334" s="27">
        <v>332</v>
      </c>
      <c r="C334" s="27" t="s">
        <v>1097</v>
      </c>
      <c r="D334" s="27" t="s">
        <v>1098</v>
      </c>
      <c r="E334" s="27" t="s">
        <v>31</v>
      </c>
      <c r="F334" s="27" t="s">
        <v>51</v>
      </c>
      <c r="G334" s="27" t="s">
        <v>412</v>
      </c>
      <c r="H334" s="40">
        <f ca="1">Tabel1[[#This Row],[KEHADIRAN]]/100</f>
        <v>0.99</v>
      </c>
    </row>
    <row r="335" spans="2:8" x14ac:dyDescent="0.25">
      <c r="B335" s="27">
        <v>333</v>
      </c>
      <c r="C335" s="27" t="s">
        <v>1099</v>
      </c>
      <c r="D335" s="27" t="s">
        <v>1100</v>
      </c>
      <c r="E335" s="27" t="s">
        <v>31</v>
      </c>
      <c r="F335" s="27" t="s">
        <v>51</v>
      </c>
      <c r="G335" s="27" t="s">
        <v>241</v>
      </c>
      <c r="H335" s="40">
        <f ca="1">Tabel1[[#This Row],[KEHADIRAN]]/100</f>
        <v>1</v>
      </c>
    </row>
    <row r="336" spans="2:8" x14ac:dyDescent="0.25">
      <c r="B336" s="27">
        <v>334</v>
      </c>
      <c r="C336" s="27" t="s">
        <v>1101</v>
      </c>
      <c r="D336" s="27" t="s">
        <v>1102</v>
      </c>
      <c r="E336" s="27" t="s">
        <v>31</v>
      </c>
      <c r="F336" s="27" t="s">
        <v>51</v>
      </c>
      <c r="G336" s="27" t="s">
        <v>141</v>
      </c>
      <c r="H336" s="40">
        <f ca="1">Tabel1[[#This Row],[KEHADIRAN]]/100</f>
        <v>0.95</v>
      </c>
    </row>
    <row r="337" spans="2:8" x14ac:dyDescent="0.25">
      <c r="B337" s="27">
        <v>335</v>
      </c>
      <c r="C337" s="27" t="s">
        <v>1103</v>
      </c>
      <c r="D337" s="27" t="s">
        <v>1104</v>
      </c>
      <c r="E337" s="27" t="s">
        <v>31</v>
      </c>
      <c r="F337" s="27" t="s">
        <v>51</v>
      </c>
      <c r="G337" s="27" t="s">
        <v>160</v>
      </c>
      <c r="H337" s="40">
        <f ca="1">Tabel1[[#This Row],[KEHADIRAN]]/100</f>
        <v>0.88</v>
      </c>
    </row>
    <row r="338" spans="2:8" x14ac:dyDescent="0.25">
      <c r="B338" s="27">
        <v>336</v>
      </c>
      <c r="C338" s="27" t="s">
        <v>1105</v>
      </c>
      <c r="D338" s="27" t="s">
        <v>1106</v>
      </c>
      <c r="E338" s="27" t="s">
        <v>31</v>
      </c>
      <c r="F338" s="27" t="s">
        <v>51</v>
      </c>
      <c r="G338" s="27" t="s">
        <v>403</v>
      </c>
      <c r="H338" s="40">
        <f ca="1">Tabel1[[#This Row],[KEHADIRAN]]/100</f>
        <v>0.98</v>
      </c>
    </row>
    <row r="339" spans="2:8" x14ac:dyDescent="0.25">
      <c r="B339" s="27">
        <v>337</v>
      </c>
      <c r="C339" s="27" t="s">
        <v>1107</v>
      </c>
      <c r="D339" s="27" t="s">
        <v>1108</v>
      </c>
      <c r="E339" s="27" t="s">
        <v>31</v>
      </c>
      <c r="F339" s="27" t="s">
        <v>51</v>
      </c>
      <c r="G339" s="27" t="s">
        <v>115</v>
      </c>
      <c r="H339" s="40">
        <f ca="1">Tabel1[[#This Row],[KEHADIRAN]]/100</f>
        <v>0.84</v>
      </c>
    </row>
    <row r="340" spans="2:8" x14ac:dyDescent="0.25">
      <c r="B340" s="27">
        <v>338</v>
      </c>
      <c r="C340" s="27" t="s">
        <v>1109</v>
      </c>
      <c r="D340" s="27" t="s">
        <v>1110</v>
      </c>
      <c r="E340" s="27" t="s">
        <v>31</v>
      </c>
      <c r="F340" s="27" t="s">
        <v>51</v>
      </c>
      <c r="G340" s="27" t="s">
        <v>332</v>
      </c>
      <c r="H340" s="40">
        <f ca="1">Tabel1[[#This Row],[KEHADIRAN]]/100</f>
        <v>0.83</v>
      </c>
    </row>
    <row r="341" spans="2:8" x14ac:dyDescent="0.25">
      <c r="B341" s="27">
        <v>339</v>
      </c>
      <c r="C341" s="27" t="s">
        <v>1111</v>
      </c>
      <c r="D341" s="27" t="s">
        <v>1112</v>
      </c>
      <c r="E341" s="27" t="s">
        <v>31</v>
      </c>
      <c r="F341" s="27" t="s">
        <v>51</v>
      </c>
      <c r="G341" s="27" t="s">
        <v>280</v>
      </c>
      <c r="H341" s="40">
        <f ca="1">Tabel1[[#This Row],[KEHADIRAN]]/100</f>
        <v>0.94</v>
      </c>
    </row>
    <row r="342" spans="2:8" x14ac:dyDescent="0.25">
      <c r="B342" s="27">
        <v>340</v>
      </c>
      <c r="C342" s="27" t="s">
        <v>1113</v>
      </c>
      <c r="D342" s="27" t="s">
        <v>1114</v>
      </c>
      <c r="E342" s="27" t="s">
        <v>31</v>
      </c>
      <c r="F342" s="27" t="s">
        <v>51</v>
      </c>
      <c r="G342" s="27" t="s">
        <v>132</v>
      </c>
      <c r="H342" s="40">
        <f ca="1">Tabel1[[#This Row],[KEHADIRAN]]/100</f>
        <v>0.85</v>
      </c>
    </row>
    <row r="343" spans="2:8" x14ac:dyDescent="0.25">
      <c r="B343" s="27">
        <v>341</v>
      </c>
      <c r="C343" s="27" t="s">
        <v>1115</v>
      </c>
      <c r="D343" s="27" t="s">
        <v>1116</v>
      </c>
      <c r="E343" s="27" t="s">
        <v>31</v>
      </c>
      <c r="F343" s="27" t="s">
        <v>51</v>
      </c>
      <c r="G343" s="27" t="s">
        <v>115</v>
      </c>
      <c r="H343" s="40">
        <f ca="1">Tabel1[[#This Row],[KEHADIRAN]]/100</f>
        <v>0.86</v>
      </c>
    </row>
    <row r="344" spans="2:8" x14ac:dyDescent="0.25">
      <c r="B344" s="27">
        <v>342</v>
      </c>
      <c r="C344" s="27" t="s">
        <v>1117</v>
      </c>
      <c r="D344" s="27" t="s">
        <v>1118</v>
      </c>
      <c r="E344" s="27" t="s">
        <v>31</v>
      </c>
      <c r="F344" s="27" t="s">
        <v>51</v>
      </c>
      <c r="G344" s="27" t="s">
        <v>254</v>
      </c>
      <c r="H344" s="40">
        <f ca="1">Tabel1[[#This Row],[KEHADIRAN]]/100</f>
        <v>0.81</v>
      </c>
    </row>
    <row r="345" spans="2:8" x14ac:dyDescent="0.25">
      <c r="B345" s="27">
        <v>343</v>
      </c>
      <c r="C345" s="27" t="s">
        <v>1119</v>
      </c>
      <c r="D345" s="27" t="s">
        <v>1120</v>
      </c>
      <c r="E345" s="27" t="s">
        <v>31</v>
      </c>
      <c r="F345" s="27" t="s">
        <v>51</v>
      </c>
      <c r="G345" s="27" t="s">
        <v>146</v>
      </c>
      <c r="H345" s="40">
        <f ca="1">Tabel1[[#This Row],[KEHADIRAN]]/100</f>
        <v>0.82</v>
      </c>
    </row>
    <row r="346" spans="2:8" x14ac:dyDescent="0.25">
      <c r="B346" s="27">
        <v>344</v>
      </c>
      <c r="C346" s="27" t="s">
        <v>1121</v>
      </c>
      <c r="D346" s="27" t="s">
        <v>1122</v>
      </c>
      <c r="E346" s="27" t="s">
        <v>31</v>
      </c>
      <c r="F346" s="27" t="s">
        <v>51</v>
      </c>
      <c r="G346" s="27" t="s">
        <v>113</v>
      </c>
      <c r="H346" s="40">
        <f ca="1">Tabel1[[#This Row],[KEHADIRAN]]/100</f>
        <v>0.85</v>
      </c>
    </row>
    <row r="347" spans="2:8" x14ac:dyDescent="0.25">
      <c r="B347" s="27">
        <v>345</v>
      </c>
      <c r="C347" s="27" t="s">
        <v>1123</v>
      </c>
      <c r="D347" s="27" t="s">
        <v>1124</v>
      </c>
      <c r="E347" s="27" t="s">
        <v>31</v>
      </c>
      <c r="F347" s="27" t="s">
        <v>51</v>
      </c>
      <c r="G347" s="27" t="s">
        <v>298</v>
      </c>
      <c r="H347" s="40">
        <f ca="1">Tabel1[[#This Row],[KEHADIRAN]]/100</f>
        <v>0.97</v>
      </c>
    </row>
    <row r="348" spans="2:8" x14ac:dyDescent="0.25">
      <c r="B348" s="27">
        <v>346</v>
      </c>
      <c r="C348" s="27" t="s">
        <v>1125</v>
      </c>
      <c r="D348" s="27" t="s">
        <v>1126</v>
      </c>
      <c r="E348" s="27" t="s">
        <v>31</v>
      </c>
      <c r="F348" s="27" t="s">
        <v>51</v>
      </c>
      <c r="G348" s="27" t="s">
        <v>412</v>
      </c>
      <c r="H348" s="40">
        <f ca="1">Tabel1[[#This Row],[KEHADIRAN]]/100</f>
        <v>0.96</v>
      </c>
    </row>
    <row r="349" spans="2:8" x14ac:dyDescent="0.25">
      <c r="B349" s="27">
        <v>347</v>
      </c>
      <c r="C349" s="27" t="s">
        <v>1127</v>
      </c>
      <c r="D349" s="27" t="s">
        <v>1128</v>
      </c>
      <c r="E349" s="27" t="s">
        <v>31</v>
      </c>
      <c r="F349" s="27" t="s">
        <v>48</v>
      </c>
      <c r="G349" s="27" t="s">
        <v>1129</v>
      </c>
      <c r="H349" s="40">
        <f ca="1">Tabel1[[#This Row],[KEHADIRAN]]/100</f>
        <v>0.94</v>
      </c>
    </row>
    <row r="350" spans="2:8" x14ac:dyDescent="0.25">
      <c r="B350" s="27">
        <v>348</v>
      </c>
      <c r="C350" s="27" t="s">
        <v>1130</v>
      </c>
      <c r="D350" s="27" t="s">
        <v>1131</v>
      </c>
      <c r="E350" s="27" t="s">
        <v>31</v>
      </c>
      <c r="F350" s="27" t="s">
        <v>51</v>
      </c>
      <c r="G350" s="27" t="s">
        <v>1132</v>
      </c>
      <c r="H350" s="40">
        <f ca="1">Tabel1[[#This Row],[KEHADIRAN]]/100</f>
        <v>0.85</v>
      </c>
    </row>
    <row r="351" spans="2:8" x14ac:dyDescent="0.25">
      <c r="B351" s="27">
        <v>349</v>
      </c>
      <c r="C351" s="27" t="s">
        <v>1133</v>
      </c>
      <c r="D351" s="27" t="s">
        <v>1134</v>
      </c>
      <c r="E351" s="27" t="s">
        <v>31</v>
      </c>
      <c r="F351" s="27" t="s">
        <v>51</v>
      </c>
      <c r="G351" s="27" t="s">
        <v>218</v>
      </c>
      <c r="H351" s="40">
        <f ca="1">Tabel1[[#This Row],[KEHADIRAN]]/100</f>
        <v>0.82</v>
      </c>
    </row>
    <row r="352" spans="2:8" x14ac:dyDescent="0.25">
      <c r="B352" s="27">
        <v>350</v>
      </c>
      <c r="C352" s="27" t="s">
        <v>1135</v>
      </c>
      <c r="D352" s="27" t="s">
        <v>1136</v>
      </c>
      <c r="E352" s="27" t="s">
        <v>31</v>
      </c>
      <c r="F352" s="27" t="s">
        <v>51</v>
      </c>
      <c r="G352" s="27" t="s">
        <v>403</v>
      </c>
      <c r="H352" s="40">
        <f ca="1">Tabel1[[#This Row],[KEHADIRAN]]/100</f>
        <v>0.91</v>
      </c>
    </row>
    <row r="353" spans="2:8" x14ac:dyDescent="0.25">
      <c r="B353" s="27">
        <v>351</v>
      </c>
      <c r="C353" s="27" t="s">
        <v>1137</v>
      </c>
      <c r="D353" s="27" t="s">
        <v>1138</v>
      </c>
      <c r="E353" s="27" t="s">
        <v>31</v>
      </c>
      <c r="F353" s="27" t="s">
        <v>51</v>
      </c>
      <c r="G353" s="27" t="s">
        <v>111</v>
      </c>
      <c r="H353" s="40">
        <f ca="1">Tabel1[[#This Row],[KEHADIRAN]]/100</f>
        <v>0.82</v>
      </c>
    </row>
    <row r="354" spans="2:8" x14ac:dyDescent="0.25">
      <c r="B354" s="27">
        <v>352</v>
      </c>
      <c r="C354" s="27" t="s">
        <v>1139</v>
      </c>
      <c r="D354" s="27" t="s">
        <v>1140</v>
      </c>
      <c r="E354" s="27" t="s">
        <v>31</v>
      </c>
      <c r="F354" s="27" t="s">
        <v>207</v>
      </c>
      <c r="G354" s="27" t="s">
        <v>389</v>
      </c>
      <c r="H354" s="40">
        <f ca="1">Tabel1[[#This Row],[KEHADIRAN]]/100</f>
        <v>0.88</v>
      </c>
    </row>
    <row r="355" spans="2:8" x14ac:dyDescent="0.25">
      <c r="B355" s="27">
        <v>353</v>
      </c>
      <c r="C355" s="27" t="s">
        <v>1141</v>
      </c>
      <c r="D355" s="27" t="s">
        <v>1142</v>
      </c>
      <c r="E355" s="27" t="s">
        <v>31</v>
      </c>
      <c r="F355" s="27" t="s">
        <v>51</v>
      </c>
      <c r="G355" s="27" t="s">
        <v>332</v>
      </c>
      <c r="H355" s="40">
        <f ca="1">Tabel1[[#This Row],[KEHADIRAN]]/100</f>
        <v>0.91</v>
      </c>
    </row>
    <row r="356" spans="2:8" x14ac:dyDescent="0.25">
      <c r="B356" s="27">
        <v>354</v>
      </c>
      <c r="C356" s="27" t="s">
        <v>1143</v>
      </c>
      <c r="D356" s="27" t="s">
        <v>1144</v>
      </c>
      <c r="E356" s="27" t="s">
        <v>31</v>
      </c>
      <c r="F356" s="27" t="s">
        <v>48</v>
      </c>
      <c r="G356" s="27" t="s">
        <v>323</v>
      </c>
      <c r="H356" s="40">
        <f ca="1">Tabel1[[#This Row],[KEHADIRAN]]/100</f>
        <v>0.82</v>
      </c>
    </row>
    <row r="357" spans="2:8" x14ac:dyDescent="0.25">
      <c r="B357" s="27">
        <v>355</v>
      </c>
      <c r="C357" s="27" t="s">
        <v>1145</v>
      </c>
      <c r="D357" s="27" t="s">
        <v>1146</v>
      </c>
      <c r="E357" s="27" t="s">
        <v>31</v>
      </c>
      <c r="F357" s="27" t="s">
        <v>51</v>
      </c>
      <c r="G357" s="27" t="s">
        <v>332</v>
      </c>
      <c r="H357" s="40">
        <f ca="1">Tabel1[[#This Row],[KEHADIRAN]]/100</f>
        <v>0.85</v>
      </c>
    </row>
    <row r="358" spans="2:8" x14ac:dyDescent="0.25">
      <c r="B358" s="27">
        <v>356</v>
      </c>
      <c r="C358" s="27" t="s">
        <v>1147</v>
      </c>
      <c r="D358" s="27" t="s">
        <v>1148</v>
      </c>
      <c r="E358" s="27" t="s">
        <v>31</v>
      </c>
      <c r="F358" s="27" t="s">
        <v>51</v>
      </c>
      <c r="G358" s="27" t="s">
        <v>199</v>
      </c>
      <c r="H358" s="40">
        <f ca="1">Tabel1[[#This Row],[KEHADIRAN]]/100</f>
        <v>0.92</v>
      </c>
    </row>
    <row r="359" spans="2:8" x14ac:dyDescent="0.25">
      <c r="B359" s="27">
        <v>357</v>
      </c>
      <c r="C359" s="27" t="s">
        <v>1149</v>
      </c>
      <c r="D359" s="27" t="s">
        <v>1150</v>
      </c>
      <c r="E359" s="27" t="s">
        <v>31</v>
      </c>
      <c r="F359" s="27" t="s">
        <v>166</v>
      </c>
      <c r="G359" s="27" t="s">
        <v>880</v>
      </c>
      <c r="H359" s="40">
        <f ca="1">Tabel1[[#This Row],[KEHADIRAN]]/100</f>
        <v>0.88</v>
      </c>
    </row>
    <row r="360" spans="2:8" x14ac:dyDescent="0.25">
      <c r="B360" s="27">
        <v>358</v>
      </c>
      <c r="C360" s="27" t="s">
        <v>1151</v>
      </c>
      <c r="D360" s="27" t="s">
        <v>1152</v>
      </c>
      <c r="E360" s="27" t="s">
        <v>31</v>
      </c>
      <c r="F360" s="27" t="s">
        <v>51</v>
      </c>
      <c r="G360" s="27" t="s">
        <v>248</v>
      </c>
      <c r="H360" s="40">
        <f ca="1">Tabel1[[#This Row],[KEHADIRAN]]/100</f>
        <v>1</v>
      </c>
    </row>
    <row r="361" spans="2:8" x14ac:dyDescent="0.25">
      <c r="B361" s="27">
        <v>359</v>
      </c>
      <c r="C361" s="27" t="s">
        <v>1153</v>
      </c>
      <c r="D361" s="27" t="s">
        <v>1154</v>
      </c>
      <c r="E361" s="27" t="s">
        <v>31</v>
      </c>
      <c r="F361" s="27" t="s">
        <v>51</v>
      </c>
      <c r="G361" s="27" t="s">
        <v>293</v>
      </c>
      <c r="H361" s="40">
        <f ca="1">Tabel1[[#This Row],[KEHADIRAN]]/100</f>
        <v>0.89</v>
      </c>
    </row>
    <row r="362" spans="2:8" x14ac:dyDescent="0.25">
      <c r="B362" s="27">
        <v>360</v>
      </c>
      <c r="C362" s="27" t="s">
        <v>1155</v>
      </c>
      <c r="D362" s="27" t="s">
        <v>1156</v>
      </c>
      <c r="E362" s="27" t="s">
        <v>31</v>
      </c>
      <c r="F362" s="27" t="s">
        <v>51</v>
      </c>
      <c r="G362" s="27" t="s">
        <v>404</v>
      </c>
      <c r="H362" s="40">
        <f ca="1">Tabel1[[#This Row],[KEHADIRAN]]/100</f>
        <v>0.89</v>
      </c>
    </row>
    <row r="363" spans="2:8" x14ac:dyDescent="0.25">
      <c r="B363" s="27">
        <v>361</v>
      </c>
      <c r="C363" s="27" t="s">
        <v>1157</v>
      </c>
      <c r="D363" s="27" t="s">
        <v>1158</v>
      </c>
      <c r="E363" s="27" t="s">
        <v>31</v>
      </c>
      <c r="F363" s="27" t="s">
        <v>51</v>
      </c>
      <c r="G363" s="27" t="s">
        <v>199</v>
      </c>
      <c r="H363" s="40">
        <f ca="1">Tabel1[[#This Row],[KEHADIRAN]]/100</f>
        <v>0.92</v>
      </c>
    </row>
    <row r="364" spans="2:8" x14ac:dyDescent="0.25">
      <c r="B364" s="27">
        <v>362</v>
      </c>
      <c r="C364" s="27" t="s">
        <v>1159</v>
      </c>
      <c r="D364" s="27" t="s">
        <v>1160</v>
      </c>
      <c r="E364" s="27" t="s">
        <v>31</v>
      </c>
      <c r="F364" s="27" t="s">
        <v>51</v>
      </c>
      <c r="G364" s="27" t="s">
        <v>416</v>
      </c>
      <c r="H364" s="40">
        <f ca="1">Tabel1[[#This Row],[KEHADIRAN]]/100</f>
        <v>0.97</v>
      </c>
    </row>
    <row r="365" spans="2:8" x14ac:dyDescent="0.25">
      <c r="B365" s="27">
        <v>363</v>
      </c>
      <c r="C365" s="27" t="s">
        <v>1161</v>
      </c>
      <c r="D365" s="27" t="s">
        <v>1162</v>
      </c>
      <c r="E365" s="27" t="s">
        <v>31</v>
      </c>
      <c r="F365" s="27" t="s">
        <v>51</v>
      </c>
      <c r="G365" s="27" t="s">
        <v>143</v>
      </c>
      <c r="H365" s="40">
        <f ca="1">Tabel1[[#This Row],[KEHADIRAN]]/100</f>
        <v>0.84</v>
      </c>
    </row>
    <row r="366" spans="2:8" x14ac:dyDescent="0.25">
      <c r="B366" s="27">
        <v>364</v>
      </c>
      <c r="C366" s="27" t="s">
        <v>1163</v>
      </c>
      <c r="D366" s="27" t="s">
        <v>1164</v>
      </c>
      <c r="E366" s="27" t="s">
        <v>31</v>
      </c>
      <c r="F366" s="27" t="s">
        <v>51</v>
      </c>
      <c r="G366" s="27" t="s">
        <v>271</v>
      </c>
      <c r="H366" s="40">
        <f ca="1">Tabel1[[#This Row],[KEHADIRAN]]/100</f>
        <v>0.8</v>
      </c>
    </row>
    <row r="367" spans="2:8" x14ac:dyDescent="0.25">
      <c r="B367" s="27">
        <v>365</v>
      </c>
      <c r="C367" s="27" t="s">
        <v>1165</v>
      </c>
      <c r="D367" s="27" t="s">
        <v>1166</v>
      </c>
      <c r="E367" s="27" t="s">
        <v>31</v>
      </c>
      <c r="F367" s="27" t="s">
        <v>51</v>
      </c>
      <c r="G367" s="27" t="s">
        <v>132</v>
      </c>
      <c r="H367" s="40">
        <f ca="1">Tabel1[[#This Row],[KEHADIRAN]]/100</f>
        <v>0.96</v>
      </c>
    </row>
    <row r="368" spans="2:8" x14ac:dyDescent="0.25">
      <c r="B368" s="27">
        <v>366</v>
      </c>
      <c r="C368" s="27" t="s">
        <v>1167</v>
      </c>
      <c r="D368" s="27" t="s">
        <v>1168</v>
      </c>
      <c r="E368" s="27" t="s">
        <v>31</v>
      </c>
      <c r="F368" s="27" t="s">
        <v>60</v>
      </c>
      <c r="G368" s="27" t="s">
        <v>415</v>
      </c>
      <c r="H368" s="40">
        <f ca="1">Tabel1[[#This Row],[KEHADIRAN]]/100</f>
        <v>0.8</v>
      </c>
    </row>
    <row r="369" spans="2:8" x14ac:dyDescent="0.25">
      <c r="B369" s="27">
        <v>367</v>
      </c>
      <c r="C369" s="27" t="s">
        <v>1169</v>
      </c>
      <c r="D369" s="27" t="s">
        <v>1170</v>
      </c>
      <c r="E369" s="27" t="s">
        <v>31</v>
      </c>
      <c r="F369" s="27" t="s">
        <v>51</v>
      </c>
      <c r="G369" s="27" t="s">
        <v>97</v>
      </c>
      <c r="H369" s="40">
        <f ca="1">Tabel1[[#This Row],[KEHADIRAN]]/100</f>
        <v>0.88</v>
      </c>
    </row>
    <row r="370" spans="2:8" x14ac:dyDescent="0.25">
      <c r="B370" s="27">
        <v>368</v>
      </c>
      <c r="C370" s="27" t="s">
        <v>1171</v>
      </c>
      <c r="D370" s="27" t="s">
        <v>1172</v>
      </c>
      <c r="E370" s="27" t="s">
        <v>31</v>
      </c>
      <c r="F370" s="27" t="s">
        <v>51</v>
      </c>
      <c r="G370" s="27" t="s">
        <v>137</v>
      </c>
      <c r="H370" s="40">
        <f ca="1">Tabel1[[#This Row],[KEHADIRAN]]/100</f>
        <v>0.93</v>
      </c>
    </row>
    <row r="371" spans="2:8" x14ac:dyDescent="0.25">
      <c r="B371" s="27">
        <v>369</v>
      </c>
      <c r="C371" s="27" t="s">
        <v>1173</v>
      </c>
      <c r="D371" s="27" t="s">
        <v>1174</v>
      </c>
      <c r="E371" s="27" t="s">
        <v>31</v>
      </c>
      <c r="F371" s="27" t="s">
        <v>123</v>
      </c>
      <c r="G371" s="27" t="s">
        <v>1175</v>
      </c>
      <c r="H371" s="40">
        <f ca="1">Tabel1[[#This Row],[KEHADIRAN]]/100</f>
        <v>0.9</v>
      </c>
    </row>
    <row r="372" spans="2:8" x14ac:dyDescent="0.25">
      <c r="B372" s="27">
        <v>370</v>
      </c>
      <c r="C372" s="27" t="s">
        <v>1176</v>
      </c>
      <c r="D372" s="27" t="s">
        <v>1177</v>
      </c>
      <c r="E372" s="27" t="s">
        <v>31</v>
      </c>
      <c r="F372" s="27" t="s">
        <v>100</v>
      </c>
      <c r="G372" s="27" t="s">
        <v>1178</v>
      </c>
      <c r="H372" s="40">
        <f ca="1">Tabel1[[#This Row],[KEHADIRAN]]/100</f>
        <v>0.86</v>
      </c>
    </row>
    <row r="373" spans="2:8" x14ac:dyDescent="0.25">
      <c r="B373" s="27">
        <v>371</v>
      </c>
      <c r="C373" s="27" t="s">
        <v>1179</v>
      </c>
      <c r="D373" s="27" t="s">
        <v>1180</v>
      </c>
      <c r="E373" s="27" t="s">
        <v>31</v>
      </c>
      <c r="F373" s="27" t="s">
        <v>51</v>
      </c>
      <c r="G373" s="27" t="s">
        <v>328</v>
      </c>
      <c r="H373" s="40">
        <f ca="1">Tabel1[[#This Row],[KEHADIRAN]]/100</f>
        <v>0.82</v>
      </c>
    </row>
    <row r="374" spans="2:8" x14ac:dyDescent="0.25">
      <c r="B374" s="31"/>
      <c r="C374" s="12"/>
      <c r="D374" s="32"/>
      <c r="G374" s="33"/>
    </row>
    <row r="375" spans="2:8" x14ac:dyDescent="0.25">
      <c r="B375" s="13"/>
      <c r="C375" s="14"/>
      <c r="D375" s="15"/>
      <c r="E375" s="14"/>
      <c r="F375" s="14"/>
      <c r="G375" s="16"/>
    </row>
    <row r="376" spans="2:8" x14ac:dyDescent="0.25">
      <c r="B376" s="21"/>
      <c r="C376" s="22"/>
      <c r="D376" s="19"/>
      <c r="E376" s="22"/>
      <c r="F376" s="22"/>
      <c r="G376" s="23"/>
    </row>
    <row r="377" spans="2:8" x14ac:dyDescent="0.25">
      <c r="B377" s="17"/>
      <c r="C377" s="18"/>
      <c r="D377" s="19"/>
      <c r="E377" s="18"/>
      <c r="F377" s="18"/>
      <c r="G377" s="20"/>
    </row>
    <row r="378" spans="2:8" x14ac:dyDescent="0.25">
      <c r="B378" s="13"/>
      <c r="C378" s="14"/>
      <c r="D378" s="15"/>
      <c r="E378" s="14"/>
      <c r="F378" s="14"/>
      <c r="G378" s="16"/>
    </row>
    <row r="379" spans="2:8" x14ac:dyDescent="0.25">
      <c r="B379" s="17"/>
      <c r="C379" s="18"/>
      <c r="D379" s="19"/>
      <c r="E379" s="18"/>
      <c r="F379" s="18"/>
      <c r="G379" s="20"/>
    </row>
    <row r="380" spans="2:8" x14ac:dyDescent="0.25">
      <c r="B380" s="13"/>
      <c r="C380" s="14"/>
      <c r="D380" s="15"/>
      <c r="E380" s="14"/>
      <c r="F380" s="14"/>
      <c r="G380" s="16"/>
    </row>
    <row r="381" spans="2:8" x14ac:dyDescent="0.25">
      <c r="B381" s="17"/>
      <c r="C381" s="18"/>
      <c r="D381" s="19"/>
      <c r="E381" s="18"/>
      <c r="F381" s="18"/>
      <c r="G381" s="20"/>
    </row>
    <row r="382" spans="2:8" x14ac:dyDescent="0.25">
      <c r="B382" s="13"/>
      <c r="C382" s="14"/>
      <c r="D382" s="15"/>
      <c r="E382" s="14"/>
      <c r="F382" s="14"/>
      <c r="G382" s="16"/>
    </row>
    <row r="383" spans="2:8" x14ac:dyDescent="0.25">
      <c r="B383" s="17"/>
      <c r="C383" s="18"/>
      <c r="D383" s="19"/>
      <c r="E383" s="18"/>
      <c r="F383" s="18"/>
      <c r="G383" s="20"/>
    </row>
    <row r="384" spans="2:8" x14ac:dyDescent="0.25">
      <c r="B384" s="13"/>
      <c r="C384" s="14"/>
      <c r="D384" s="15"/>
      <c r="E384" s="14"/>
      <c r="F384" s="14"/>
      <c r="G384" s="16"/>
    </row>
    <row r="385" spans="2:7" x14ac:dyDescent="0.25">
      <c r="B385" s="17"/>
      <c r="C385" s="18"/>
      <c r="D385" s="19"/>
      <c r="E385" s="18"/>
      <c r="F385" s="18"/>
      <c r="G385" s="20"/>
    </row>
    <row r="386" spans="2:7" x14ac:dyDescent="0.25">
      <c r="B386" s="13"/>
      <c r="C386" s="14"/>
      <c r="D386" s="15"/>
      <c r="E386" s="14"/>
      <c r="F386" s="14"/>
      <c r="G386" s="16"/>
    </row>
    <row r="387" spans="2:7" x14ac:dyDescent="0.25">
      <c r="B387" s="17"/>
      <c r="C387" s="18"/>
      <c r="D387" s="19"/>
      <c r="E387" s="18"/>
      <c r="F387" s="18"/>
      <c r="G387" s="20"/>
    </row>
    <row r="388" spans="2:7" x14ac:dyDescent="0.25">
      <c r="B388" s="13"/>
      <c r="C388" s="14"/>
      <c r="D388" s="15"/>
      <c r="E388" s="14"/>
      <c r="F388" s="14"/>
      <c r="G388" s="16"/>
    </row>
    <row r="389" spans="2:7" x14ac:dyDescent="0.25">
      <c r="B389" s="17"/>
      <c r="C389" s="18"/>
      <c r="D389" s="19"/>
      <c r="E389" s="18"/>
      <c r="F389" s="18"/>
      <c r="G389" s="20"/>
    </row>
    <row r="390" spans="2:7" x14ac:dyDescent="0.25">
      <c r="B390" s="13"/>
      <c r="C390" s="14"/>
      <c r="D390" s="15"/>
      <c r="E390" s="14"/>
      <c r="F390" s="14"/>
      <c r="G390" s="16"/>
    </row>
    <row r="391" spans="2:7" x14ac:dyDescent="0.25">
      <c r="B391" s="17"/>
      <c r="C391" s="18"/>
      <c r="D391" s="19"/>
      <c r="E391" s="18"/>
      <c r="F391" s="18"/>
      <c r="G391" s="20"/>
    </row>
    <row r="392" spans="2:7" x14ac:dyDescent="0.25">
      <c r="B392" s="13"/>
      <c r="C392" s="14"/>
      <c r="D392" s="15"/>
      <c r="E392" s="14"/>
      <c r="F392" s="14"/>
      <c r="G392" s="16"/>
    </row>
    <row r="393" spans="2:7" x14ac:dyDescent="0.25">
      <c r="B393" s="17"/>
      <c r="C393" s="18"/>
      <c r="D393" s="19"/>
      <c r="E393" s="18"/>
      <c r="F393" s="18"/>
      <c r="G393" s="20"/>
    </row>
    <row r="394" spans="2:7" x14ac:dyDescent="0.25">
      <c r="B394" s="13"/>
      <c r="C394" s="14"/>
      <c r="D394" s="15"/>
      <c r="E394" s="14"/>
      <c r="F394" s="14"/>
      <c r="G394" s="16"/>
    </row>
    <row r="395" spans="2:7" x14ac:dyDescent="0.25">
      <c r="B395" s="17"/>
      <c r="C395" s="18"/>
      <c r="D395" s="19"/>
      <c r="E395" s="18"/>
      <c r="F395" s="18"/>
      <c r="G395" s="20"/>
    </row>
    <row r="396" spans="2:7" x14ac:dyDescent="0.25">
      <c r="B396" s="13"/>
      <c r="C396" s="14"/>
      <c r="D396" s="15"/>
      <c r="E396" s="14"/>
      <c r="F396" s="14"/>
      <c r="G396" s="16"/>
    </row>
    <row r="397" spans="2:7" x14ac:dyDescent="0.25">
      <c r="B397" s="17"/>
      <c r="C397" s="18"/>
      <c r="D397" s="19"/>
      <c r="E397" s="18"/>
      <c r="F397" s="18"/>
      <c r="G397" s="20"/>
    </row>
    <row r="398" spans="2:7" x14ac:dyDescent="0.25">
      <c r="B398" s="13"/>
      <c r="C398" s="14"/>
      <c r="D398" s="15"/>
      <c r="E398" s="14"/>
      <c r="F398" s="14"/>
      <c r="G398" s="16"/>
    </row>
    <row r="399" spans="2:7" x14ac:dyDescent="0.25">
      <c r="B399" s="17"/>
      <c r="C399" s="18"/>
      <c r="D399" s="19"/>
      <c r="E399" s="18"/>
      <c r="F399" s="18"/>
      <c r="G399" s="20"/>
    </row>
    <row r="400" spans="2:7" x14ac:dyDescent="0.25">
      <c r="B400" s="13"/>
      <c r="C400" s="14"/>
      <c r="D400" s="15"/>
      <c r="E400" s="14"/>
      <c r="F400" s="14"/>
      <c r="G400" s="16"/>
    </row>
    <row r="401" spans="2:7" x14ac:dyDescent="0.25">
      <c r="B401" s="17"/>
      <c r="C401" s="18"/>
      <c r="D401" s="19"/>
      <c r="E401" s="18"/>
      <c r="F401" s="18"/>
      <c r="G401" s="20"/>
    </row>
    <row r="402" spans="2:7" x14ac:dyDescent="0.25">
      <c r="B402" s="13"/>
      <c r="C402" s="14"/>
      <c r="D402" s="15"/>
      <c r="E402" s="14"/>
      <c r="F402" s="14"/>
      <c r="G402" s="16"/>
    </row>
    <row r="403" spans="2:7" x14ac:dyDescent="0.25">
      <c r="B403" s="21"/>
      <c r="C403" s="22"/>
      <c r="D403" s="19"/>
      <c r="E403" s="22"/>
      <c r="F403" s="22"/>
      <c r="G403" s="23"/>
    </row>
    <row r="404" spans="2:7" x14ac:dyDescent="0.25">
      <c r="B404" s="17"/>
      <c r="C404" s="18"/>
      <c r="D404" s="19"/>
      <c r="E404" s="18"/>
      <c r="F404" s="18"/>
      <c r="G404" s="20"/>
    </row>
    <row r="405" spans="2:7" x14ac:dyDescent="0.25">
      <c r="B405" s="13"/>
      <c r="C405" s="14"/>
      <c r="D405" s="15"/>
      <c r="E405" s="14"/>
      <c r="F405" s="14"/>
      <c r="G405" s="16"/>
    </row>
    <row r="406" spans="2:7" x14ac:dyDescent="0.25">
      <c r="B406" s="17"/>
      <c r="C406" s="18"/>
      <c r="D406" s="19"/>
      <c r="E406" s="18"/>
      <c r="F406" s="18"/>
      <c r="G406" s="20"/>
    </row>
    <row r="407" spans="2:7" x14ac:dyDescent="0.25">
      <c r="B407" s="13"/>
      <c r="C407" s="14"/>
      <c r="D407" s="15"/>
      <c r="E407" s="14"/>
      <c r="F407" s="14"/>
      <c r="G407" s="16"/>
    </row>
    <row r="408" spans="2:7" x14ac:dyDescent="0.25">
      <c r="B408" s="17"/>
      <c r="C408" s="18"/>
      <c r="D408" s="19"/>
      <c r="E408" s="18"/>
      <c r="F408" s="18"/>
      <c r="G408" s="20"/>
    </row>
    <row r="409" spans="2:7" x14ac:dyDescent="0.25">
      <c r="B409" s="13"/>
      <c r="C409" s="14"/>
      <c r="D409" s="15"/>
      <c r="E409" s="14"/>
      <c r="F409" s="14"/>
      <c r="G409" s="16"/>
    </row>
    <row r="410" spans="2:7" x14ac:dyDescent="0.25">
      <c r="B410" s="17"/>
      <c r="C410" s="18"/>
      <c r="D410" s="19"/>
      <c r="E410" s="18"/>
      <c r="F410" s="18"/>
      <c r="G410" s="20"/>
    </row>
    <row r="411" spans="2:7" x14ac:dyDescent="0.25">
      <c r="B411" s="13"/>
      <c r="C411" s="14"/>
      <c r="D411" s="15"/>
      <c r="E411" s="14"/>
      <c r="F411" s="14"/>
      <c r="G411" s="16"/>
    </row>
    <row r="412" spans="2:7" x14ac:dyDescent="0.25">
      <c r="B412" s="17"/>
      <c r="C412" s="18"/>
      <c r="D412" s="19"/>
      <c r="E412" s="18"/>
      <c r="F412" s="18"/>
      <c r="G412" s="20"/>
    </row>
    <row r="413" spans="2:7" x14ac:dyDescent="0.25">
      <c r="B413" s="13"/>
      <c r="C413" s="14"/>
      <c r="D413" s="15"/>
      <c r="E413" s="14"/>
      <c r="F413" s="14"/>
      <c r="G413" s="16"/>
    </row>
    <row r="414" spans="2:7" x14ac:dyDescent="0.25">
      <c r="B414" s="17"/>
      <c r="C414" s="18"/>
      <c r="D414" s="19"/>
      <c r="E414" s="18"/>
      <c r="F414" s="18"/>
      <c r="G414" s="20"/>
    </row>
    <row r="415" spans="2:7" x14ac:dyDescent="0.25">
      <c r="B415" s="13"/>
      <c r="C415" s="14"/>
      <c r="D415" s="15"/>
      <c r="E415" s="14"/>
      <c r="F415" s="14"/>
      <c r="G415" s="16"/>
    </row>
    <row r="416" spans="2:7" x14ac:dyDescent="0.25">
      <c r="B416" s="17"/>
      <c r="C416" s="18"/>
      <c r="D416" s="19"/>
      <c r="E416" s="18"/>
      <c r="F416" s="18"/>
      <c r="G416" s="20"/>
    </row>
    <row r="417" spans="2:7" x14ac:dyDescent="0.25">
      <c r="B417" s="13"/>
      <c r="C417" s="14"/>
      <c r="D417" s="15"/>
      <c r="E417" s="14"/>
      <c r="F417" s="14"/>
      <c r="G417" s="16"/>
    </row>
    <row r="418" spans="2:7" x14ac:dyDescent="0.25">
      <c r="B418" s="17"/>
      <c r="C418" s="18"/>
      <c r="D418" s="19"/>
      <c r="E418" s="18"/>
      <c r="F418" s="18"/>
      <c r="G418" s="20"/>
    </row>
    <row r="419" spans="2:7" x14ac:dyDescent="0.25">
      <c r="B419" s="13"/>
      <c r="C419" s="14"/>
      <c r="D419" s="15"/>
      <c r="E419" s="14"/>
      <c r="F419" s="14"/>
      <c r="G419" s="16"/>
    </row>
    <row r="420" spans="2:7" x14ac:dyDescent="0.25">
      <c r="B420" s="17"/>
      <c r="C420" s="18"/>
      <c r="D420" s="19"/>
      <c r="E420" s="18"/>
      <c r="F420" s="18"/>
      <c r="G420" s="20"/>
    </row>
    <row r="421" spans="2:7" x14ac:dyDescent="0.25">
      <c r="B421" s="13"/>
      <c r="C421" s="14"/>
      <c r="D421" s="15"/>
      <c r="E421" s="14"/>
      <c r="F421" s="14"/>
      <c r="G421" s="16"/>
    </row>
    <row r="422" spans="2:7" x14ac:dyDescent="0.25">
      <c r="B422" s="17"/>
      <c r="C422" s="18"/>
      <c r="D422" s="19"/>
      <c r="E422" s="18"/>
      <c r="F422" s="18"/>
      <c r="G422" s="20"/>
    </row>
    <row r="423" spans="2:7" x14ac:dyDescent="0.25">
      <c r="B423" s="13"/>
      <c r="C423" s="14"/>
      <c r="D423" s="15"/>
      <c r="E423" s="14"/>
      <c r="F423" s="14"/>
      <c r="G423" s="16"/>
    </row>
    <row r="424" spans="2:7" x14ac:dyDescent="0.25">
      <c r="B424" s="17"/>
      <c r="C424" s="18"/>
      <c r="D424" s="19"/>
      <c r="E424" s="18"/>
      <c r="F424" s="18"/>
      <c r="G424" s="20"/>
    </row>
    <row r="425" spans="2:7" x14ac:dyDescent="0.25">
      <c r="B425" s="13"/>
      <c r="C425" s="14"/>
      <c r="D425" s="15"/>
      <c r="E425" s="14"/>
      <c r="F425" s="14"/>
      <c r="G425" s="16"/>
    </row>
    <row r="426" spans="2:7" x14ac:dyDescent="0.25">
      <c r="B426" s="17"/>
      <c r="C426" s="18"/>
      <c r="D426" s="19"/>
      <c r="E426" s="18"/>
      <c r="F426" s="18"/>
      <c r="G426" s="20"/>
    </row>
    <row r="427" spans="2:7" x14ac:dyDescent="0.25">
      <c r="B427" s="13"/>
      <c r="C427" s="14"/>
      <c r="D427" s="15"/>
      <c r="E427" s="14"/>
      <c r="F427" s="14"/>
      <c r="G427" s="16"/>
    </row>
    <row r="428" spans="2:7" x14ac:dyDescent="0.25">
      <c r="B428" s="17"/>
      <c r="C428" s="18"/>
      <c r="D428" s="19"/>
      <c r="E428" s="18"/>
      <c r="F428" s="18"/>
      <c r="G428" s="20"/>
    </row>
    <row r="429" spans="2:7" x14ac:dyDescent="0.25">
      <c r="B429" s="13"/>
      <c r="C429" s="14"/>
      <c r="D429" s="15"/>
      <c r="E429" s="14"/>
      <c r="F429" s="14"/>
      <c r="G429" s="16"/>
    </row>
    <row r="430" spans="2:7" x14ac:dyDescent="0.25">
      <c r="B430" s="21"/>
      <c r="C430" s="22"/>
      <c r="D430" s="19"/>
      <c r="E430" s="22"/>
      <c r="F430" s="22"/>
      <c r="G430" s="23"/>
    </row>
    <row r="431" spans="2:7" x14ac:dyDescent="0.25">
      <c r="B431" s="17"/>
      <c r="C431" s="18"/>
      <c r="D431" s="19"/>
      <c r="E431" s="18"/>
      <c r="F431" s="18"/>
      <c r="G431" s="20"/>
    </row>
    <row r="432" spans="2:7" x14ac:dyDescent="0.25">
      <c r="B432" s="13"/>
      <c r="C432" s="14"/>
      <c r="D432" s="15"/>
      <c r="E432" s="14"/>
      <c r="F432" s="14"/>
      <c r="G432" s="16"/>
    </row>
    <row r="433" spans="2:7" x14ac:dyDescent="0.25">
      <c r="B433" s="17"/>
      <c r="C433" s="18"/>
      <c r="D433" s="19"/>
      <c r="E433" s="18"/>
      <c r="F433" s="18"/>
      <c r="G433" s="20"/>
    </row>
    <row r="434" spans="2:7" x14ac:dyDescent="0.25">
      <c r="B434" s="13"/>
      <c r="C434" s="14"/>
      <c r="D434" s="15"/>
      <c r="E434" s="14"/>
      <c r="F434" s="14"/>
      <c r="G434" s="16"/>
    </row>
    <row r="435" spans="2:7" x14ac:dyDescent="0.25">
      <c r="B435" s="17"/>
      <c r="C435" s="18"/>
      <c r="D435" s="19"/>
      <c r="E435" s="18"/>
      <c r="F435" s="18"/>
      <c r="G435" s="20"/>
    </row>
    <row r="436" spans="2:7" x14ac:dyDescent="0.25">
      <c r="B436" s="13"/>
      <c r="C436" s="14"/>
      <c r="D436" s="15"/>
      <c r="E436" s="14"/>
      <c r="F436" s="14"/>
      <c r="G436" s="16"/>
    </row>
    <row r="437" spans="2:7" x14ac:dyDescent="0.25">
      <c r="B437" s="17"/>
      <c r="C437" s="18"/>
      <c r="D437" s="19"/>
      <c r="E437" s="18"/>
      <c r="F437" s="18"/>
      <c r="G437" s="20"/>
    </row>
    <row r="438" spans="2:7" x14ac:dyDescent="0.25">
      <c r="B438" s="13"/>
      <c r="C438" s="14"/>
      <c r="D438" s="15"/>
      <c r="E438" s="14"/>
      <c r="F438" s="14"/>
      <c r="G438" s="16"/>
    </row>
    <row r="439" spans="2:7" x14ac:dyDescent="0.25">
      <c r="B439" s="17"/>
      <c r="C439" s="18"/>
      <c r="D439" s="19"/>
      <c r="E439" s="18"/>
      <c r="F439" s="18"/>
      <c r="G439" s="20"/>
    </row>
    <row r="440" spans="2:7" x14ac:dyDescent="0.25">
      <c r="B440" s="13"/>
      <c r="C440" s="14"/>
      <c r="D440" s="15"/>
      <c r="E440" s="14"/>
      <c r="F440" s="14"/>
      <c r="G440" s="16"/>
    </row>
    <row r="441" spans="2:7" x14ac:dyDescent="0.25">
      <c r="B441" s="17"/>
      <c r="C441" s="18"/>
      <c r="D441" s="19"/>
      <c r="E441" s="18"/>
      <c r="F441" s="18"/>
      <c r="G441" s="20"/>
    </row>
    <row r="442" spans="2:7" x14ac:dyDescent="0.25">
      <c r="B442" s="13"/>
      <c r="C442" s="14"/>
      <c r="D442" s="15"/>
      <c r="E442" s="14"/>
      <c r="F442" s="14"/>
      <c r="G442" s="16"/>
    </row>
    <row r="443" spans="2:7" x14ac:dyDescent="0.25">
      <c r="B443" s="17"/>
      <c r="C443" s="18"/>
      <c r="D443" s="19"/>
      <c r="E443" s="18"/>
      <c r="F443" s="18"/>
      <c r="G443" s="20"/>
    </row>
    <row r="444" spans="2:7" x14ac:dyDescent="0.25">
      <c r="B444" s="13"/>
      <c r="C444" s="14"/>
      <c r="D444" s="15"/>
      <c r="E444" s="14"/>
      <c r="F444" s="14"/>
      <c r="G444" s="16"/>
    </row>
    <row r="445" spans="2:7" x14ac:dyDescent="0.25">
      <c r="B445" s="17"/>
      <c r="C445" s="18"/>
      <c r="D445" s="19"/>
      <c r="E445" s="18"/>
      <c r="F445" s="18"/>
      <c r="G445" s="20"/>
    </row>
    <row r="446" spans="2:7" x14ac:dyDescent="0.25">
      <c r="B446" s="13"/>
      <c r="C446" s="14"/>
      <c r="D446" s="15"/>
      <c r="E446" s="14"/>
      <c r="F446" s="14"/>
      <c r="G446" s="16"/>
    </row>
    <row r="447" spans="2:7" x14ac:dyDescent="0.25">
      <c r="B447" s="17"/>
      <c r="C447" s="18"/>
      <c r="D447" s="19"/>
      <c r="E447" s="18"/>
      <c r="F447" s="18"/>
      <c r="G447" s="20"/>
    </row>
    <row r="448" spans="2:7" x14ac:dyDescent="0.25">
      <c r="B448" s="13"/>
      <c r="C448" s="14"/>
      <c r="D448" s="15"/>
      <c r="E448" s="14"/>
      <c r="F448" s="14"/>
      <c r="G448" s="16"/>
    </row>
    <row r="449" spans="2:7" x14ac:dyDescent="0.25">
      <c r="B449" s="17"/>
      <c r="C449" s="18"/>
      <c r="D449" s="19"/>
      <c r="E449" s="18"/>
      <c r="F449" s="18"/>
      <c r="G449" s="20"/>
    </row>
    <row r="450" spans="2:7" x14ac:dyDescent="0.25">
      <c r="B450" s="13"/>
      <c r="C450" s="14"/>
      <c r="D450" s="15"/>
      <c r="E450" s="14"/>
      <c r="F450" s="14"/>
      <c r="G450" s="16"/>
    </row>
    <row r="451" spans="2:7" x14ac:dyDescent="0.25">
      <c r="B451" s="17"/>
      <c r="C451" s="18"/>
      <c r="D451" s="19"/>
      <c r="E451" s="18"/>
      <c r="F451" s="18"/>
      <c r="G451" s="20"/>
    </row>
    <row r="452" spans="2:7" x14ac:dyDescent="0.25">
      <c r="B452" s="13"/>
      <c r="C452" s="14"/>
      <c r="D452" s="15"/>
      <c r="E452" s="14"/>
      <c r="F452" s="14"/>
      <c r="G452" s="16"/>
    </row>
    <row r="453" spans="2:7" x14ac:dyDescent="0.25">
      <c r="B453" s="17"/>
      <c r="C453" s="18"/>
      <c r="D453" s="19"/>
      <c r="E453" s="18"/>
      <c r="F453" s="18"/>
      <c r="G453" s="20"/>
    </row>
    <row r="454" spans="2:7" x14ac:dyDescent="0.25">
      <c r="B454" s="13"/>
      <c r="C454" s="14"/>
      <c r="D454" s="15"/>
      <c r="E454" s="14"/>
      <c r="F454" s="14"/>
      <c r="G454" s="16"/>
    </row>
    <row r="455" spans="2:7" x14ac:dyDescent="0.25">
      <c r="B455" s="17"/>
      <c r="C455" s="18"/>
      <c r="D455" s="19"/>
      <c r="E455" s="18"/>
      <c r="F455" s="18"/>
      <c r="G455" s="20"/>
    </row>
    <row r="456" spans="2:7" x14ac:dyDescent="0.25">
      <c r="B456" s="13"/>
      <c r="C456" s="14"/>
      <c r="D456" s="15"/>
      <c r="E456" s="14"/>
      <c r="F456" s="14"/>
      <c r="G456" s="16"/>
    </row>
    <row r="457" spans="2:7" x14ac:dyDescent="0.25">
      <c r="B457" s="21"/>
      <c r="C457" s="22"/>
      <c r="D457" s="19"/>
      <c r="E457" s="22"/>
      <c r="F457" s="22"/>
      <c r="G457" s="23"/>
    </row>
    <row r="458" spans="2:7" x14ac:dyDescent="0.25">
      <c r="B458" s="17"/>
      <c r="C458" s="18"/>
      <c r="D458" s="19"/>
      <c r="E458" s="18"/>
      <c r="F458" s="18"/>
      <c r="G458" s="20"/>
    </row>
    <row r="459" spans="2:7" x14ac:dyDescent="0.25">
      <c r="B459" s="13"/>
      <c r="C459" s="14"/>
      <c r="D459" s="15"/>
      <c r="E459" s="14"/>
      <c r="F459" s="14"/>
      <c r="G459" s="16"/>
    </row>
    <row r="460" spans="2:7" x14ac:dyDescent="0.25">
      <c r="B460" s="17"/>
      <c r="C460" s="18"/>
      <c r="D460" s="19"/>
      <c r="E460" s="18"/>
      <c r="F460" s="18"/>
      <c r="G460" s="20"/>
    </row>
    <row r="461" spans="2:7" x14ac:dyDescent="0.25">
      <c r="B461" s="13"/>
      <c r="C461" s="14"/>
      <c r="D461" s="15"/>
      <c r="E461" s="14"/>
      <c r="F461" s="14"/>
      <c r="G461" s="16"/>
    </row>
    <row r="462" spans="2:7" x14ac:dyDescent="0.25">
      <c r="B462" s="17"/>
      <c r="C462" s="18"/>
      <c r="D462" s="19"/>
      <c r="E462" s="18"/>
      <c r="F462" s="18"/>
      <c r="G462" s="20"/>
    </row>
    <row r="463" spans="2:7" x14ac:dyDescent="0.25">
      <c r="B463" s="13"/>
      <c r="C463" s="14"/>
      <c r="D463" s="15"/>
      <c r="E463" s="14"/>
      <c r="F463" s="14"/>
      <c r="G463" s="16"/>
    </row>
    <row r="464" spans="2:7" x14ac:dyDescent="0.25">
      <c r="B464" s="17"/>
      <c r="C464" s="18"/>
      <c r="D464" s="19"/>
      <c r="E464" s="18"/>
      <c r="F464" s="18"/>
      <c r="G464" s="20"/>
    </row>
    <row r="465" spans="2:7" x14ac:dyDescent="0.25">
      <c r="B465" s="13"/>
      <c r="C465" s="14"/>
      <c r="D465" s="15"/>
      <c r="E465" s="14"/>
      <c r="F465" s="14"/>
      <c r="G465" s="16"/>
    </row>
    <row r="466" spans="2:7" x14ac:dyDescent="0.25">
      <c r="B466" s="17"/>
      <c r="C466" s="18"/>
      <c r="D466" s="19"/>
      <c r="E466" s="18"/>
      <c r="F466" s="18"/>
      <c r="G466" s="20"/>
    </row>
    <row r="467" spans="2:7" x14ac:dyDescent="0.25">
      <c r="B467" s="13"/>
      <c r="C467" s="14"/>
      <c r="D467" s="15"/>
      <c r="E467" s="14"/>
      <c r="F467" s="14"/>
      <c r="G467" s="16"/>
    </row>
    <row r="468" spans="2:7" x14ac:dyDescent="0.25">
      <c r="B468" s="17"/>
      <c r="C468" s="18"/>
      <c r="D468" s="19"/>
      <c r="E468" s="18"/>
      <c r="F468" s="18"/>
      <c r="G468" s="20"/>
    </row>
    <row r="469" spans="2:7" x14ac:dyDescent="0.25">
      <c r="B469" s="13"/>
      <c r="C469" s="14"/>
      <c r="D469" s="15"/>
      <c r="E469" s="14"/>
      <c r="F469" s="14"/>
      <c r="G469" s="16"/>
    </row>
    <row r="470" spans="2:7" x14ac:dyDescent="0.25">
      <c r="B470" s="17"/>
      <c r="C470" s="18"/>
      <c r="D470" s="19"/>
      <c r="E470" s="18"/>
      <c r="F470" s="18"/>
      <c r="G470" s="20"/>
    </row>
    <row r="471" spans="2:7" x14ac:dyDescent="0.25">
      <c r="B471" s="13"/>
      <c r="C471" s="14"/>
      <c r="D471" s="15"/>
      <c r="E471" s="14"/>
      <c r="F471" s="14"/>
      <c r="G471" s="16"/>
    </row>
    <row r="472" spans="2:7" x14ac:dyDescent="0.25">
      <c r="B472" s="17"/>
      <c r="C472" s="18"/>
      <c r="D472" s="19"/>
      <c r="E472" s="18"/>
      <c r="F472" s="18"/>
      <c r="G472" s="20"/>
    </row>
    <row r="473" spans="2:7" x14ac:dyDescent="0.25">
      <c r="B473" s="13"/>
      <c r="C473" s="14"/>
      <c r="D473" s="15"/>
      <c r="E473" s="14"/>
      <c r="F473" s="14"/>
      <c r="G473" s="16"/>
    </row>
    <row r="474" spans="2:7" x14ac:dyDescent="0.25">
      <c r="B474" s="17"/>
      <c r="C474" s="18"/>
      <c r="D474" s="19"/>
      <c r="E474" s="18"/>
      <c r="F474" s="18"/>
      <c r="G474" s="20"/>
    </row>
    <row r="475" spans="2:7" x14ac:dyDescent="0.25">
      <c r="B475" s="13"/>
      <c r="C475" s="14"/>
      <c r="D475" s="15"/>
      <c r="E475" s="14"/>
      <c r="F475" s="14"/>
      <c r="G475" s="16"/>
    </row>
    <row r="476" spans="2:7" x14ac:dyDescent="0.25">
      <c r="B476" s="17"/>
      <c r="C476" s="18"/>
      <c r="D476" s="19"/>
      <c r="E476" s="18"/>
      <c r="F476" s="18"/>
      <c r="G476" s="20"/>
    </row>
    <row r="477" spans="2:7" x14ac:dyDescent="0.25">
      <c r="B477" s="13"/>
      <c r="C477" s="14"/>
      <c r="D477" s="15"/>
      <c r="E477" s="14"/>
      <c r="F477" s="14"/>
      <c r="G477" s="16"/>
    </row>
    <row r="478" spans="2:7" x14ac:dyDescent="0.25">
      <c r="B478" s="17"/>
      <c r="C478" s="18"/>
      <c r="D478" s="19"/>
      <c r="E478" s="18"/>
      <c r="F478" s="18"/>
      <c r="G478" s="20"/>
    </row>
    <row r="479" spans="2:7" x14ac:dyDescent="0.25">
      <c r="B479" s="13"/>
      <c r="C479" s="14"/>
      <c r="D479" s="15"/>
      <c r="E479" s="14"/>
      <c r="F479" s="14"/>
      <c r="G479" s="16"/>
    </row>
    <row r="480" spans="2:7" x14ac:dyDescent="0.25">
      <c r="B480" s="17"/>
      <c r="C480" s="18"/>
      <c r="D480" s="19"/>
      <c r="E480" s="18"/>
      <c r="F480" s="18"/>
      <c r="G480" s="20"/>
    </row>
    <row r="481" spans="2:7" x14ac:dyDescent="0.25">
      <c r="B481" s="13"/>
      <c r="C481" s="14"/>
      <c r="D481" s="15"/>
      <c r="E481" s="14"/>
      <c r="F481" s="14"/>
      <c r="G481" s="16"/>
    </row>
    <row r="482" spans="2:7" x14ac:dyDescent="0.25">
      <c r="B482" s="21"/>
      <c r="C482" s="22"/>
      <c r="D482" s="19"/>
      <c r="E482" s="22"/>
      <c r="F482" s="22"/>
      <c r="G482" s="23"/>
    </row>
  </sheetData>
  <pageMargins left="0.7" right="0.7" top="0.75" bottom="0.75" header="0.3" footer="0.3"/>
  <pageSetup paperSize="9" orientation="portrait" horizontalDpi="4294967293" verticalDpi="0" r:id="rId1"/>
  <ignoredErrors>
    <ignoredError sqref="B3:G4 B5:G248 B250:G373 B249:D249 F249:G249" numberStoredAsText="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5080-B01B-4AB2-B557-1E9C188CDAAC}">
  <dimension ref="B1:H373"/>
  <sheetViews>
    <sheetView workbookViewId="0">
      <selection activeCell="J22" sqref="J22"/>
    </sheetView>
  </sheetViews>
  <sheetFormatPr defaultRowHeight="15.75" x14ac:dyDescent="0.25"/>
  <cols>
    <col min="2" max="2" width="14.28515625" style="1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38" bestFit="1" customWidth="1"/>
  </cols>
  <sheetData>
    <row r="1" spans="2:8" x14ac:dyDescent="0.25">
      <c r="D1" s="11"/>
    </row>
    <row r="2" spans="2:8" x14ac:dyDescent="0.25">
      <c r="B2" s="30" t="s">
        <v>0</v>
      </c>
      <c r="C2" s="29" t="s">
        <v>1</v>
      </c>
      <c r="D2" s="29" t="s">
        <v>2</v>
      </c>
      <c r="E2" s="30" t="s">
        <v>1184</v>
      </c>
      <c r="F2" s="30" t="s">
        <v>3</v>
      </c>
      <c r="G2" s="30" t="s">
        <v>4</v>
      </c>
      <c r="H2" s="39" t="s">
        <v>1183</v>
      </c>
    </row>
    <row r="3" spans="2:8" x14ac:dyDescent="0.25">
      <c r="B3" s="27" t="s">
        <v>5</v>
      </c>
      <c r="C3" s="10" t="s">
        <v>462</v>
      </c>
      <c r="D3" s="10" t="s">
        <v>408</v>
      </c>
      <c r="E3" s="27" t="s">
        <v>31</v>
      </c>
      <c r="F3" s="27" t="s">
        <v>94</v>
      </c>
      <c r="G3" s="27" t="s">
        <v>71</v>
      </c>
      <c r="H3" s="40">
        <f ca="1">Tabel2[[#This Row],[KEHADIRAN]]/100</f>
        <v>0.85</v>
      </c>
    </row>
    <row r="4" spans="2:8" x14ac:dyDescent="0.25">
      <c r="B4" s="27" t="s">
        <v>8</v>
      </c>
      <c r="C4" s="10" t="s">
        <v>465</v>
      </c>
      <c r="D4" s="10" t="s">
        <v>466</v>
      </c>
      <c r="E4" s="27" t="s">
        <v>319</v>
      </c>
      <c r="F4" s="27" t="s">
        <v>214</v>
      </c>
      <c r="G4" s="27" t="s">
        <v>409</v>
      </c>
      <c r="H4" s="40">
        <f ca="1">Tabel2[[#This Row],[KEHADIRAN]]/100</f>
        <v>0</v>
      </c>
    </row>
    <row r="5" spans="2:8" x14ac:dyDescent="0.25">
      <c r="B5" s="27" t="s">
        <v>10</v>
      </c>
      <c r="C5" s="10" t="s">
        <v>467</v>
      </c>
      <c r="D5" s="10" t="s">
        <v>468</v>
      </c>
      <c r="E5" s="27" t="s">
        <v>25</v>
      </c>
      <c r="F5" s="27" t="s">
        <v>77</v>
      </c>
      <c r="G5" s="27" t="s">
        <v>154</v>
      </c>
      <c r="H5" s="40">
        <f ca="1">Tabel2[[#This Row],[KEHADIRAN]]/100</f>
        <v>0.99</v>
      </c>
    </row>
    <row r="6" spans="2:8" x14ac:dyDescent="0.25">
      <c r="B6" s="27" t="s">
        <v>12</v>
      </c>
      <c r="C6" s="10" t="s">
        <v>474</v>
      </c>
      <c r="D6" s="10" t="s">
        <v>475</v>
      </c>
      <c r="E6" s="27" t="s">
        <v>25</v>
      </c>
      <c r="F6" s="27" t="s">
        <v>51</v>
      </c>
      <c r="G6" s="27" t="s">
        <v>476</v>
      </c>
      <c r="H6" s="40">
        <f ca="1">Tabel2[[#This Row],[KEHADIRAN]]/100</f>
        <v>1</v>
      </c>
    </row>
    <row r="7" spans="2:8" x14ac:dyDescent="0.25">
      <c r="B7" s="27" t="s">
        <v>14</v>
      </c>
      <c r="C7" s="10" t="s">
        <v>522</v>
      </c>
      <c r="D7" s="10" t="s">
        <v>523</v>
      </c>
      <c r="E7" s="27" t="s">
        <v>31</v>
      </c>
      <c r="F7" s="27" t="s">
        <v>70</v>
      </c>
      <c r="G7" s="27" t="s">
        <v>97</v>
      </c>
      <c r="H7" s="40">
        <f ca="1">Tabel2[[#This Row],[KEHADIRAN]]/100</f>
        <v>1</v>
      </c>
    </row>
    <row r="8" spans="2:8" x14ac:dyDescent="0.25">
      <c r="B8" s="27" t="s">
        <v>16</v>
      </c>
      <c r="C8" s="10" t="s">
        <v>530</v>
      </c>
      <c r="D8" s="10" t="s">
        <v>531</v>
      </c>
      <c r="E8" s="27" t="s">
        <v>25</v>
      </c>
      <c r="F8" s="27" t="s">
        <v>135</v>
      </c>
      <c r="G8" s="27" t="s">
        <v>303</v>
      </c>
      <c r="H8" s="40">
        <f ca="1">Tabel2[[#This Row],[KEHADIRAN]]/100</f>
        <v>1</v>
      </c>
    </row>
    <row r="9" spans="2:8" x14ac:dyDescent="0.25">
      <c r="B9" s="27" t="s">
        <v>18</v>
      </c>
      <c r="C9" s="10" t="s">
        <v>537</v>
      </c>
      <c r="D9" s="10" t="s">
        <v>538</v>
      </c>
      <c r="E9" s="27" t="s">
        <v>31</v>
      </c>
      <c r="F9" s="27" t="s">
        <v>204</v>
      </c>
      <c r="G9" s="27" t="s">
        <v>29</v>
      </c>
      <c r="H9" s="40">
        <f ca="1">Tabel2[[#This Row],[KEHADIRAN]]/100</f>
        <v>0.97</v>
      </c>
    </row>
    <row r="10" spans="2:8" x14ac:dyDescent="0.25">
      <c r="B10" s="27" t="s">
        <v>21</v>
      </c>
      <c r="C10" s="10" t="s">
        <v>552</v>
      </c>
      <c r="D10" s="10" t="s">
        <v>553</v>
      </c>
      <c r="E10" s="27" t="s">
        <v>31</v>
      </c>
      <c r="F10" s="27" t="s">
        <v>223</v>
      </c>
      <c r="G10" s="27" t="s">
        <v>146</v>
      </c>
      <c r="H10" s="40">
        <f ca="1">Tabel2[[#This Row],[KEHADIRAN]]/100</f>
        <v>0.89</v>
      </c>
    </row>
    <row r="11" spans="2:8" x14ac:dyDescent="0.25">
      <c r="B11" s="27" t="s">
        <v>24</v>
      </c>
      <c r="C11" s="10" t="s">
        <v>556</v>
      </c>
      <c r="D11" s="10" t="s">
        <v>557</v>
      </c>
      <c r="E11" s="27" t="s">
        <v>31</v>
      </c>
      <c r="F11" s="27" t="s">
        <v>7</v>
      </c>
      <c r="G11" s="27" t="s">
        <v>91</v>
      </c>
      <c r="H11" s="40">
        <f ca="1">Tabel2[[#This Row],[KEHADIRAN]]/100</f>
        <v>0.96</v>
      </c>
    </row>
    <row r="12" spans="2:8" x14ac:dyDescent="0.25">
      <c r="B12" s="27" t="s">
        <v>27</v>
      </c>
      <c r="C12" s="10" t="s">
        <v>558</v>
      </c>
      <c r="D12" s="10" t="s">
        <v>559</v>
      </c>
      <c r="E12" s="27" t="s">
        <v>31</v>
      </c>
      <c r="F12" s="27" t="s">
        <v>39</v>
      </c>
      <c r="G12" s="27" t="s">
        <v>560</v>
      </c>
      <c r="H12" s="40">
        <f ca="1">Tabel2[[#This Row],[KEHADIRAN]]/100</f>
        <v>0.95</v>
      </c>
    </row>
    <row r="13" spans="2:8" x14ac:dyDescent="0.25">
      <c r="B13" s="27" t="s">
        <v>30</v>
      </c>
      <c r="C13" s="10" t="s">
        <v>561</v>
      </c>
      <c r="D13" s="10" t="s">
        <v>562</v>
      </c>
      <c r="E13" s="27" t="s">
        <v>25</v>
      </c>
      <c r="F13" s="27" t="s">
        <v>94</v>
      </c>
      <c r="G13" s="27" t="s">
        <v>241</v>
      </c>
      <c r="H13" s="40">
        <f ca="1">Tabel2[[#This Row],[KEHADIRAN]]/100</f>
        <v>0.85</v>
      </c>
    </row>
    <row r="14" spans="2:8" x14ac:dyDescent="0.25">
      <c r="B14" s="27" t="s">
        <v>33</v>
      </c>
      <c r="C14" s="10" t="s">
        <v>563</v>
      </c>
      <c r="D14" s="10" t="s">
        <v>564</v>
      </c>
      <c r="E14" s="27" t="s">
        <v>25</v>
      </c>
      <c r="F14" s="27" t="s">
        <v>94</v>
      </c>
      <c r="G14" s="27" t="s">
        <v>137</v>
      </c>
      <c r="H14" s="40">
        <f ca="1">Tabel2[[#This Row],[KEHADIRAN]]/100</f>
        <v>0.95</v>
      </c>
    </row>
    <row r="15" spans="2:8" x14ac:dyDescent="0.25">
      <c r="B15" s="27" t="s">
        <v>35</v>
      </c>
      <c r="C15" s="10" t="s">
        <v>565</v>
      </c>
      <c r="D15" s="10" t="s">
        <v>566</v>
      </c>
      <c r="E15" s="27" t="s">
        <v>31</v>
      </c>
      <c r="F15" s="27" t="s">
        <v>219</v>
      </c>
      <c r="G15" s="27" t="s">
        <v>139</v>
      </c>
      <c r="H15" s="40">
        <f ca="1">Tabel2[[#This Row],[KEHADIRAN]]/100</f>
        <v>0.84</v>
      </c>
    </row>
    <row r="16" spans="2:8" x14ac:dyDescent="0.25">
      <c r="B16" s="27" t="s">
        <v>37</v>
      </c>
      <c r="C16" s="10" t="s">
        <v>567</v>
      </c>
      <c r="D16" s="10" t="s">
        <v>568</v>
      </c>
      <c r="E16" s="27" t="s">
        <v>31</v>
      </c>
      <c r="F16" s="27" t="s">
        <v>32</v>
      </c>
      <c r="G16" s="27" t="s">
        <v>158</v>
      </c>
      <c r="H16" s="40">
        <f ca="1">Tabel2[[#This Row],[KEHADIRAN]]/100</f>
        <v>0.97</v>
      </c>
    </row>
    <row r="17" spans="2:8" x14ac:dyDescent="0.25">
      <c r="B17" s="27" t="s">
        <v>38</v>
      </c>
      <c r="C17" s="10" t="s">
        <v>572</v>
      </c>
      <c r="D17" s="10" t="s">
        <v>407</v>
      </c>
      <c r="E17" s="27" t="s">
        <v>25</v>
      </c>
      <c r="F17" s="27" t="s">
        <v>39</v>
      </c>
      <c r="G17" s="27" t="s">
        <v>122</v>
      </c>
      <c r="H17" s="40">
        <f ca="1">Tabel2[[#This Row],[KEHADIRAN]]/100</f>
        <v>0.85</v>
      </c>
    </row>
    <row r="18" spans="2:8" x14ac:dyDescent="0.25">
      <c r="B18" s="27" t="s">
        <v>40</v>
      </c>
      <c r="C18" s="10" t="s">
        <v>573</v>
      </c>
      <c r="D18" s="10" t="s">
        <v>574</v>
      </c>
      <c r="E18" s="27" t="s">
        <v>31</v>
      </c>
      <c r="F18" s="27" t="s">
        <v>77</v>
      </c>
      <c r="G18" s="27" t="s">
        <v>215</v>
      </c>
      <c r="H18" s="40">
        <f ca="1">Tabel2[[#This Row],[KEHADIRAN]]/100</f>
        <v>0.88</v>
      </c>
    </row>
    <row r="19" spans="2:8" x14ac:dyDescent="0.25">
      <c r="B19" s="27" t="s">
        <v>41</v>
      </c>
      <c r="C19" s="10" t="s">
        <v>575</v>
      </c>
      <c r="D19" s="10" t="s">
        <v>576</v>
      </c>
      <c r="E19" s="27" t="s">
        <v>25</v>
      </c>
      <c r="F19" s="27" t="s">
        <v>94</v>
      </c>
      <c r="G19" s="27" t="s">
        <v>412</v>
      </c>
      <c r="H19" s="40">
        <f ca="1">Tabel2[[#This Row],[KEHADIRAN]]/100</f>
        <v>0.97</v>
      </c>
    </row>
    <row r="20" spans="2:8" x14ac:dyDescent="0.25">
      <c r="B20" s="27" t="s">
        <v>43</v>
      </c>
      <c r="C20" s="10" t="s">
        <v>577</v>
      </c>
      <c r="D20" s="10" t="s">
        <v>578</v>
      </c>
      <c r="E20" s="27" t="s">
        <v>31</v>
      </c>
      <c r="F20" s="27" t="s">
        <v>51</v>
      </c>
      <c r="G20" s="27" t="s">
        <v>217</v>
      </c>
      <c r="H20" s="40">
        <f ca="1">Tabel2[[#This Row],[KEHADIRAN]]/100</f>
        <v>0.97</v>
      </c>
    </row>
    <row r="21" spans="2:8" x14ac:dyDescent="0.25">
      <c r="B21" s="27" t="s">
        <v>45</v>
      </c>
      <c r="C21" s="10" t="s">
        <v>579</v>
      </c>
      <c r="D21" s="10" t="s">
        <v>580</v>
      </c>
      <c r="E21" s="27" t="s">
        <v>31</v>
      </c>
      <c r="F21" s="27" t="s">
        <v>57</v>
      </c>
      <c r="G21" s="27" t="s">
        <v>151</v>
      </c>
      <c r="H21" s="40">
        <f ca="1">Tabel2[[#This Row],[KEHADIRAN]]/100</f>
        <v>0.85</v>
      </c>
    </row>
    <row r="22" spans="2:8" x14ac:dyDescent="0.25">
      <c r="B22" s="27" t="s">
        <v>48</v>
      </c>
      <c r="C22" s="10" t="s">
        <v>581</v>
      </c>
      <c r="D22" s="10" t="s">
        <v>582</v>
      </c>
      <c r="E22" s="27" t="s">
        <v>31</v>
      </c>
      <c r="F22" s="27" t="s">
        <v>77</v>
      </c>
      <c r="G22" s="27" t="s">
        <v>95</v>
      </c>
      <c r="H22" s="40">
        <f ca="1">Tabel2[[#This Row],[KEHADIRAN]]/100</f>
        <v>0.83</v>
      </c>
    </row>
    <row r="23" spans="2:8" x14ac:dyDescent="0.25">
      <c r="B23" s="27" t="s">
        <v>49</v>
      </c>
      <c r="C23" s="10" t="s">
        <v>583</v>
      </c>
      <c r="D23" s="10" t="s">
        <v>584</v>
      </c>
      <c r="E23" s="27" t="s">
        <v>31</v>
      </c>
      <c r="F23" s="27" t="s">
        <v>94</v>
      </c>
      <c r="G23" s="27" t="s">
        <v>227</v>
      </c>
      <c r="H23" s="40">
        <f ca="1">Tabel2[[#This Row],[KEHADIRAN]]/100</f>
        <v>0.95</v>
      </c>
    </row>
    <row r="24" spans="2:8" x14ac:dyDescent="0.25">
      <c r="B24" s="27" t="s">
        <v>50</v>
      </c>
      <c r="C24" s="10" t="s">
        <v>585</v>
      </c>
      <c r="D24" s="10" t="s">
        <v>586</v>
      </c>
      <c r="E24" s="27" t="s">
        <v>31</v>
      </c>
      <c r="F24" s="27" t="s">
        <v>70</v>
      </c>
      <c r="G24" s="27" t="s">
        <v>254</v>
      </c>
      <c r="H24" s="40">
        <f ca="1">Tabel2[[#This Row],[KEHADIRAN]]/100</f>
        <v>0.8</v>
      </c>
    </row>
    <row r="25" spans="2:8" x14ac:dyDescent="0.25">
      <c r="B25" s="27" t="s">
        <v>52</v>
      </c>
      <c r="C25" s="10" t="s">
        <v>587</v>
      </c>
      <c r="D25" s="10" t="s">
        <v>588</v>
      </c>
      <c r="E25" s="27" t="s">
        <v>31</v>
      </c>
      <c r="F25" s="27" t="s">
        <v>42</v>
      </c>
      <c r="G25" s="27" t="s">
        <v>418</v>
      </c>
      <c r="H25" s="40">
        <f ca="1">Tabel2[[#This Row],[KEHADIRAN]]/100</f>
        <v>0.92</v>
      </c>
    </row>
    <row r="26" spans="2:8" x14ac:dyDescent="0.25">
      <c r="B26" s="27" t="s">
        <v>55</v>
      </c>
      <c r="C26" s="10" t="s">
        <v>589</v>
      </c>
      <c r="D26" s="10" t="s">
        <v>590</v>
      </c>
      <c r="E26" s="27" t="s">
        <v>31</v>
      </c>
      <c r="F26" s="27" t="s">
        <v>39</v>
      </c>
      <c r="G26" s="27" t="s">
        <v>124</v>
      </c>
      <c r="H26" s="40">
        <f ca="1">Tabel2[[#This Row],[KEHADIRAN]]/100</f>
        <v>0.82</v>
      </c>
    </row>
    <row r="27" spans="2:8" x14ac:dyDescent="0.25">
      <c r="B27" s="27" t="s">
        <v>56</v>
      </c>
      <c r="C27" s="10" t="s">
        <v>591</v>
      </c>
      <c r="D27" s="10" t="s">
        <v>592</v>
      </c>
      <c r="E27" s="27" t="s">
        <v>25</v>
      </c>
      <c r="F27" s="27" t="s">
        <v>94</v>
      </c>
      <c r="G27" s="27" t="s">
        <v>412</v>
      </c>
      <c r="H27" s="40">
        <f ca="1">Tabel2[[#This Row],[KEHADIRAN]]/100</f>
        <v>0.91</v>
      </c>
    </row>
    <row r="28" spans="2:8" x14ac:dyDescent="0.25">
      <c r="B28" s="27" t="s">
        <v>47</v>
      </c>
      <c r="C28" s="10" t="s">
        <v>593</v>
      </c>
      <c r="D28" s="10" t="s">
        <v>594</v>
      </c>
      <c r="E28" s="27" t="s">
        <v>31</v>
      </c>
      <c r="F28" s="27" t="s">
        <v>94</v>
      </c>
      <c r="G28" s="27" t="s">
        <v>229</v>
      </c>
      <c r="H28" s="40">
        <f ca="1">Tabel2[[#This Row],[KEHADIRAN]]/100</f>
        <v>0.99</v>
      </c>
    </row>
    <row r="29" spans="2:8" x14ac:dyDescent="0.25">
      <c r="B29" s="27" t="s">
        <v>58</v>
      </c>
      <c r="C29" s="10" t="s">
        <v>595</v>
      </c>
      <c r="D29" s="10" t="s">
        <v>596</v>
      </c>
      <c r="E29" s="27" t="s">
        <v>25</v>
      </c>
      <c r="F29" s="27" t="s">
        <v>77</v>
      </c>
      <c r="G29" s="27" t="s">
        <v>124</v>
      </c>
      <c r="H29" s="40">
        <f ca="1">Tabel2[[#This Row],[KEHADIRAN]]/100</f>
        <v>0.81</v>
      </c>
    </row>
    <row r="30" spans="2:8" x14ac:dyDescent="0.25">
      <c r="B30" s="27" t="s">
        <v>59</v>
      </c>
      <c r="C30" s="10" t="s">
        <v>597</v>
      </c>
      <c r="D30" s="10" t="s">
        <v>598</v>
      </c>
      <c r="E30" s="27" t="s">
        <v>25</v>
      </c>
      <c r="F30" s="27" t="s">
        <v>94</v>
      </c>
      <c r="G30" s="27" t="s">
        <v>172</v>
      </c>
      <c r="H30" s="40">
        <f ca="1">Tabel2[[#This Row],[KEHADIRAN]]/100</f>
        <v>0.88</v>
      </c>
    </row>
    <row r="31" spans="2:8" x14ac:dyDescent="0.25">
      <c r="B31" s="27" t="s">
        <v>61</v>
      </c>
      <c r="C31" s="10" t="s">
        <v>599</v>
      </c>
      <c r="D31" s="10" t="s">
        <v>600</v>
      </c>
      <c r="E31" s="27" t="s">
        <v>31</v>
      </c>
      <c r="F31" s="27" t="s">
        <v>53</v>
      </c>
      <c r="G31" s="27" t="s">
        <v>67</v>
      </c>
      <c r="H31" s="40">
        <f ca="1">Tabel2[[#This Row],[KEHADIRAN]]/100</f>
        <v>0.9</v>
      </c>
    </row>
    <row r="32" spans="2:8" x14ac:dyDescent="0.25">
      <c r="B32" s="27" t="s">
        <v>63</v>
      </c>
      <c r="C32" s="10" t="s">
        <v>601</v>
      </c>
      <c r="D32" s="10" t="s">
        <v>602</v>
      </c>
      <c r="E32" s="27" t="s">
        <v>25</v>
      </c>
      <c r="F32" s="27" t="s">
        <v>39</v>
      </c>
      <c r="G32" s="27" t="s">
        <v>416</v>
      </c>
      <c r="H32" s="40">
        <f ca="1">Tabel2[[#This Row],[KEHADIRAN]]/100</f>
        <v>0.95</v>
      </c>
    </row>
    <row r="33" spans="2:8" x14ac:dyDescent="0.25">
      <c r="B33" s="27" t="s">
        <v>64</v>
      </c>
      <c r="C33" s="10" t="s">
        <v>603</v>
      </c>
      <c r="D33" s="10" t="s">
        <v>604</v>
      </c>
      <c r="E33" s="27" t="s">
        <v>25</v>
      </c>
      <c r="F33" s="27" t="s">
        <v>94</v>
      </c>
      <c r="G33" s="27" t="s">
        <v>257</v>
      </c>
      <c r="H33" s="40">
        <f ca="1">Tabel2[[#This Row],[KEHADIRAN]]/100</f>
        <v>0.96</v>
      </c>
    </row>
    <row r="34" spans="2:8" x14ac:dyDescent="0.25">
      <c r="B34" s="27" t="s">
        <v>65</v>
      </c>
      <c r="C34" s="10" t="s">
        <v>608</v>
      </c>
      <c r="D34" s="10" t="s">
        <v>609</v>
      </c>
      <c r="E34" s="27" t="s">
        <v>31</v>
      </c>
      <c r="F34" s="27" t="s">
        <v>57</v>
      </c>
      <c r="G34" s="27" t="s">
        <v>121</v>
      </c>
      <c r="H34" s="40">
        <f ca="1">Tabel2[[#This Row],[KEHADIRAN]]/100</f>
        <v>0.95</v>
      </c>
    </row>
    <row r="35" spans="2:8" x14ac:dyDescent="0.25">
      <c r="B35" s="27" t="s">
        <v>66</v>
      </c>
      <c r="C35" s="10" t="s">
        <v>610</v>
      </c>
      <c r="D35" s="10" t="s">
        <v>611</v>
      </c>
      <c r="E35" s="27" t="s">
        <v>25</v>
      </c>
      <c r="F35" s="27" t="s">
        <v>94</v>
      </c>
      <c r="G35" s="27" t="s">
        <v>169</v>
      </c>
      <c r="H35" s="40">
        <f ca="1">Tabel2[[#This Row],[KEHADIRAN]]/100</f>
        <v>0.89</v>
      </c>
    </row>
    <row r="36" spans="2:8" x14ac:dyDescent="0.25">
      <c r="B36" s="27" t="s">
        <v>68</v>
      </c>
      <c r="C36" s="10" t="s">
        <v>612</v>
      </c>
      <c r="D36" s="10" t="s">
        <v>613</v>
      </c>
      <c r="E36" s="27" t="s">
        <v>31</v>
      </c>
      <c r="F36" s="27" t="s">
        <v>53</v>
      </c>
      <c r="G36" s="27" t="s">
        <v>404</v>
      </c>
      <c r="H36" s="40">
        <f ca="1">Tabel2[[#This Row],[KEHADIRAN]]/100</f>
        <v>0.94</v>
      </c>
    </row>
    <row r="37" spans="2:8" x14ac:dyDescent="0.25">
      <c r="B37" s="27" t="s">
        <v>69</v>
      </c>
      <c r="C37" s="10" t="s">
        <v>614</v>
      </c>
      <c r="D37" s="10" t="s">
        <v>615</v>
      </c>
      <c r="E37" s="27" t="s">
        <v>319</v>
      </c>
      <c r="F37" s="27" t="s">
        <v>43</v>
      </c>
      <c r="G37" s="27" t="s">
        <v>203</v>
      </c>
      <c r="H37" s="40">
        <f ca="1">Tabel2[[#This Row],[KEHADIRAN]]/100</f>
        <v>0</v>
      </c>
    </row>
    <row r="38" spans="2:8" x14ac:dyDescent="0.25">
      <c r="B38" s="27" t="s">
        <v>72</v>
      </c>
      <c r="C38" s="10" t="s">
        <v>616</v>
      </c>
      <c r="D38" s="10" t="s">
        <v>617</v>
      </c>
      <c r="E38" s="27" t="s">
        <v>31</v>
      </c>
      <c r="F38" s="27" t="s">
        <v>88</v>
      </c>
      <c r="G38" s="27" t="s">
        <v>259</v>
      </c>
      <c r="H38" s="40">
        <f ca="1">Tabel2[[#This Row],[KEHADIRAN]]/100</f>
        <v>0.81</v>
      </c>
    </row>
    <row r="39" spans="2:8" x14ac:dyDescent="0.25">
      <c r="B39" s="27" t="s">
        <v>73</v>
      </c>
      <c r="C39" s="10" t="s">
        <v>618</v>
      </c>
      <c r="D39" s="10" t="s">
        <v>619</v>
      </c>
      <c r="E39" s="27" t="s">
        <v>31</v>
      </c>
      <c r="F39" s="27" t="s">
        <v>155</v>
      </c>
      <c r="G39" s="27" t="s">
        <v>339</v>
      </c>
      <c r="H39" s="40">
        <f ca="1">Tabel2[[#This Row],[KEHADIRAN]]/100</f>
        <v>0.89</v>
      </c>
    </row>
    <row r="40" spans="2:8" x14ac:dyDescent="0.25">
      <c r="B40" s="27" t="s">
        <v>75</v>
      </c>
      <c r="C40" s="10" t="s">
        <v>620</v>
      </c>
      <c r="D40" s="10" t="s">
        <v>621</v>
      </c>
      <c r="E40" s="27" t="s">
        <v>25</v>
      </c>
      <c r="F40" s="27" t="s">
        <v>94</v>
      </c>
      <c r="G40" s="27" t="s">
        <v>257</v>
      </c>
      <c r="H40" s="40">
        <f ca="1">Tabel2[[#This Row],[KEHADIRAN]]/100</f>
        <v>0.93</v>
      </c>
    </row>
    <row r="41" spans="2:8" x14ac:dyDescent="0.25">
      <c r="B41" s="27" t="s">
        <v>76</v>
      </c>
      <c r="C41" s="10" t="s">
        <v>622</v>
      </c>
      <c r="D41" s="10" t="s">
        <v>623</v>
      </c>
      <c r="E41" s="27" t="s">
        <v>31</v>
      </c>
      <c r="F41" s="27" t="s">
        <v>226</v>
      </c>
      <c r="G41" s="27" t="s">
        <v>160</v>
      </c>
      <c r="H41" s="40">
        <f ca="1">Tabel2[[#This Row],[KEHADIRAN]]/100</f>
        <v>0.99</v>
      </c>
    </row>
    <row r="42" spans="2:8" x14ac:dyDescent="0.25">
      <c r="B42" s="27" t="s">
        <v>78</v>
      </c>
      <c r="C42" s="10" t="s">
        <v>624</v>
      </c>
      <c r="D42" s="10" t="s">
        <v>625</v>
      </c>
      <c r="E42" s="27" t="s">
        <v>6</v>
      </c>
      <c r="F42" s="27" t="s">
        <v>72</v>
      </c>
      <c r="G42" s="27" t="s">
        <v>626</v>
      </c>
      <c r="H42" s="40">
        <f ca="1">Tabel2[[#This Row],[KEHADIRAN]]/100</f>
        <v>0</v>
      </c>
    </row>
    <row r="43" spans="2:8" x14ac:dyDescent="0.25">
      <c r="B43" s="27" t="s">
        <v>79</v>
      </c>
      <c r="C43" s="10" t="s">
        <v>627</v>
      </c>
      <c r="D43" s="10" t="s">
        <v>628</v>
      </c>
      <c r="E43" s="27" t="s">
        <v>25</v>
      </c>
      <c r="F43" s="27" t="s">
        <v>77</v>
      </c>
      <c r="G43" s="27" t="s">
        <v>132</v>
      </c>
      <c r="H43" s="40">
        <f ca="1">Tabel2[[#This Row],[KEHADIRAN]]/100</f>
        <v>0.92</v>
      </c>
    </row>
    <row r="44" spans="2:8" x14ac:dyDescent="0.25">
      <c r="B44" s="27" t="s">
        <v>81</v>
      </c>
      <c r="C44" s="10" t="s">
        <v>629</v>
      </c>
      <c r="D44" s="10" t="s">
        <v>630</v>
      </c>
      <c r="E44" s="27" t="s">
        <v>31</v>
      </c>
      <c r="F44" s="27" t="s">
        <v>28</v>
      </c>
      <c r="G44" s="27" t="s">
        <v>215</v>
      </c>
      <c r="H44" s="40">
        <f ca="1">Tabel2[[#This Row],[KEHADIRAN]]/100</f>
        <v>0.83</v>
      </c>
    </row>
    <row r="45" spans="2:8" x14ac:dyDescent="0.25">
      <c r="B45" s="27" t="s">
        <v>82</v>
      </c>
      <c r="C45" s="10" t="s">
        <v>631</v>
      </c>
      <c r="D45" s="10" t="s">
        <v>632</v>
      </c>
      <c r="E45" s="27" t="s">
        <v>6</v>
      </c>
      <c r="F45" s="27" t="s">
        <v>27</v>
      </c>
      <c r="G45" s="27" t="s">
        <v>633</v>
      </c>
      <c r="H45" s="40">
        <f ca="1">Tabel2[[#This Row],[KEHADIRAN]]/100</f>
        <v>0</v>
      </c>
    </row>
    <row r="46" spans="2:8" x14ac:dyDescent="0.25">
      <c r="B46" s="27" t="s">
        <v>17</v>
      </c>
      <c r="C46" s="10" t="s">
        <v>634</v>
      </c>
      <c r="D46" s="10" t="s">
        <v>635</v>
      </c>
      <c r="E46" s="27" t="s">
        <v>31</v>
      </c>
      <c r="F46" s="27" t="s">
        <v>13</v>
      </c>
      <c r="G46" s="27" t="s">
        <v>193</v>
      </c>
      <c r="H46" s="40">
        <f ca="1">Tabel2[[#This Row],[KEHADIRAN]]/100</f>
        <v>0.8</v>
      </c>
    </row>
    <row r="47" spans="2:8" x14ac:dyDescent="0.25">
      <c r="B47" s="27" t="s">
        <v>84</v>
      </c>
      <c r="C47" s="10" t="s">
        <v>636</v>
      </c>
      <c r="D47" s="10" t="s">
        <v>637</v>
      </c>
      <c r="E47" s="27" t="s">
        <v>25</v>
      </c>
      <c r="F47" s="27" t="s">
        <v>94</v>
      </c>
      <c r="G47" s="27" t="s">
        <v>130</v>
      </c>
      <c r="H47" s="40">
        <f ca="1">Tabel2[[#This Row],[KEHADIRAN]]/100</f>
        <v>0.98</v>
      </c>
    </row>
    <row r="48" spans="2:8" x14ac:dyDescent="0.25">
      <c r="B48" s="27" t="s">
        <v>86</v>
      </c>
      <c r="C48" s="10" t="s">
        <v>638</v>
      </c>
      <c r="D48" s="10" t="s">
        <v>639</v>
      </c>
      <c r="E48" s="27" t="s">
        <v>31</v>
      </c>
      <c r="F48" s="27" t="s">
        <v>224</v>
      </c>
      <c r="G48" s="27" t="s">
        <v>54</v>
      </c>
      <c r="H48" s="40">
        <f ca="1">Tabel2[[#This Row],[KEHADIRAN]]/100</f>
        <v>0.83</v>
      </c>
    </row>
    <row r="49" spans="2:8" x14ac:dyDescent="0.25">
      <c r="B49" s="27" t="s">
        <v>87</v>
      </c>
      <c r="C49" s="10" t="s">
        <v>640</v>
      </c>
      <c r="D49" s="10" t="s">
        <v>641</v>
      </c>
      <c r="E49" s="27" t="s">
        <v>31</v>
      </c>
      <c r="F49" s="27" t="s">
        <v>42</v>
      </c>
      <c r="G49" s="27" t="s">
        <v>160</v>
      </c>
      <c r="H49" s="40">
        <f ca="1">Tabel2[[#This Row],[KEHADIRAN]]/100</f>
        <v>0.91</v>
      </c>
    </row>
    <row r="50" spans="2:8" x14ac:dyDescent="0.25">
      <c r="B50" s="27" t="s">
        <v>90</v>
      </c>
      <c r="C50" s="10" t="s">
        <v>642</v>
      </c>
      <c r="D50" s="10" t="s">
        <v>643</v>
      </c>
      <c r="E50" s="27" t="s">
        <v>25</v>
      </c>
      <c r="F50" s="27" t="s">
        <v>77</v>
      </c>
      <c r="G50" s="27" t="s">
        <v>113</v>
      </c>
      <c r="H50" s="40">
        <f ca="1">Tabel2[[#This Row],[KEHADIRAN]]/100</f>
        <v>0.8</v>
      </c>
    </row>
    <row r="51" spans="2:8" x14ac:dyDescent="0.25">
      <c r="B51" s="27" t="s">
        <v>92</v>
      </c>
      <c r="C51" s="10" t="s">
        <v>644</v>
      </c>
      <c r="D51" s="10" t="s">
        <v>645</v>
      </c>
      <c r="E51" s="27" t="s">
        <v>31</v>
      </c>
      <c r="F51" s="27" t="s">
        <v>77</v>
      </c>
      <c r="G51" s="27" t="s">
        <v>127</v>
      </c>
      <c r="H51" s="40">
        <f ca="1">Tabel2[[#This Row],[KEHADIRAN]]/100</f>
        <v>0.87</v>
      </c>
    </row>
    <row r="52" spans="2:8" x14ac:dyDescent="0.25">
      <c r="B52" s="27" t="s">
        <v>93</v>
      </c>
      <c r="C52" s="10" t="s">
        <v>646</v>
      </c>
      <c r="D52" s="10" t="s">
        <v>647</v>
      </c>
      <c r="E52" s="27" t="s">
        <v>31</v>
      </c>
      <c r="F52" s="27" t="s">
        <v>219</v>
      </c>
      <c r="G52" s="27" t="s">
        <v>127</v>
      </c>
      <c r="H52" s="40">
        <f ca="1">Tabel2[[#This Row],[KEHADIRAN]]/100</f>
        <v>0.98</v>
      </c>
    </row>
    <row r="53" spans="2:8" x14ac:dyDescent="0.25">
      <c r="B53" s="27" t="s">
        <v>96</v>
      </c>
      <c r="C53" s="10" t="s">
        <v>648</v>
      </c>
      <c r="D53" s="10" t="s">
        <v>649</v>
      </c>
      <c r="E53" s="27" t="s">
        <v>25</v>
      </c>
      <c r="F53" s="27" t="s">
        <v>94</v>
      </c>
      <c r="G53" s="27" t="s">
        <v>177</v>
      </c>
      <c r="H53" s="40">
        <f ca="1">Tabel2[[#This Row],[KEHADIRAN]]/100</f>
        <v>0.98</v>
      </c>
    </row>
    <row r="54" spans="2:8" x14ac:dyDescent="0.25">
      <c r="B54" s="27" t="s">
        <v>98</v>
      </c>
      <c r="C54" s="10" t="s">
        <v>650</v>
      </c>
      <c r="D54" s="10" t="s">
        <v>651</v>
      </c>
      <c r="E54" s="27" t="s">
        <v>25</v>
      </c>
      <c r="F54" s="27" t="s">
        <v>94</v>
      </c>
      <c r="G54" s="27" t="s">
        <v>248</v>
      </c>
      <c r="H54" s="40">
        <f ca="1">Tabel2[[#This Row],[KEHADIRAN]]/100</f>
        <v>0.8</v>
      </c>
    </row>
    <row r="55" spans="2:8" x14ac:dyDescent="0.25">
      <c r="B55" s="27" t="s">
        <v>99</v>
      </c>
      <c r="C55" s="10" t="s">
        <v>652</v>
      </c>
      <c r="D55" s="10" t="s">
        <v>653</v>
      </c>
      <c r="E55" s="27" t="s">
        <v>25</v>
      </c>
      <c r="F55" s="27" t="s">
        <v>39</v>
      </c>
      <c r="G55" s="27" t="s">
        <v>416</v>
      </c>
      <c r="H55" s="40">
        <f ca="1">Tabel2[[#This Row],[KEHADIRAN]]/100</f>
        <v>0.89</v>
      </c>
    </row>
    <row r="56" spans="2:8" x14ac:dyDescent="0.25">
      <c r="B56" s="27" t="s">
        <v>100</v>
      </c>
      <c r="C56" s="10" t="s">
        <v>654</v>
      </c>
      <c r="D56" s="10" t="s">
        <v>655</v>
      </c>
      <c r="E56" s="27" t="s">
        <v>25</v>
      </c>
      <c r="F56" s="27" t="s">
        <v>94</v>
      </c>
      <c r="G56" s="27" t="s">
        <v>254</v>
      </c>
      <c r="H56" s="40">
        <f ca="1">Tabel2[[#This Row],[KEHADIRAN]]/100</f>
        <v>0.85</v>
      </c>
    </row>
    <row r="57" spans="2:8" x14ac:dyDescent="0.25">
      <c r="B57" s="27" t="s">
        <v>101</v>
      </c>
      <c r="C57" s="10" t="s">
        <v>661</v>
      </c>
      <c r="D57" s="10" t="s">
        <v>662</v>
      </c>
      <c r="E57" s="27" t="s">
        <v>25</v>
      </c>
      <c r="F57" s="27" t="s">
        <v>94</v>
      </c>
      <c r="G57" s="27" t="s">
        <v>113</v>
      </c>
      <c r="H57" s="40">
        <f ca="1">Tabel2[[#This Row],[KEHADIRAN]]/100</f>
        <v>1</v>
      </c>
    </row>
    <row r="58" spans="2:8" x14ac:dyDescent="0.25">
      <c r="B58" s="27" t="s">
        <v>103</v>
      </c>
      <c r="C58" s="10" t="s">
        <v>663</v>
      </c>
      <c r="D58" s="10" t="s">
        <v>664</v>
      </c>
      <c r="E58" s="27" t="s">
        <v>31</v>
      </c>
      <c r="F58" s="27" t="s">
        <v>26</v>
      </c>
      <c r="G58" s="27" t="s">
        <v>303</v>
      </c>
      <c r="H58" s="40">
        <f ca="1">Tabel2[[#This Row],[KEHADIRAN]]/100</f>
        <v>0.91</v>
      </c>
    </row>
    <row r="59" spans="2:8" x14ac:dyDescent="0.25">
      <c r="B59" s="27" t="s">
        <v>104</v>
      </c>
      <c r="C59" s="10" t="s">
        <v>665</v>
      </c>
      <c r="D59" s="10" t="s">
        <v>666</v>
      </c>
      <c r="E59" s="27" t="s">
        <v>31</v>
      </c>
      <c r="F59" s="27" t="s">
        <v>51</v>
      </c>
      <c r="G59" s="27" t="s">
        <v>89</v>
      </c>
      <c r="H59" s="40">
        <f ca="1">Tabel2[[#This Row],[KEHADIRAN]]/100</f>
        <v>0.91</v>
      </c>
    </row>
    <row r="60" spans="2:8" x14ac:dyDescent="0.25">
      <c r="B60" s="27" t="s">
        <v>105</v>
      </c>
      <c r="C60" s="10" t="s">
        <v>667</v>
      </c>
      <c r="D60" s="10" t="s">
        <v>668</v>
      </c>
      <c r="E60" s="27" t="s">
        <v>31</v>
      </c>
      <c r="F60" s="27" t="s">
        <v>26</v>
      </c>
      <c r="G60" s="27" t="s">
        <v>199</v>
      </c>
      <c r="H60" s="40">
        <f ca="1">Tabel2[[#This Row],[KEHADIRAN]]/100</f>
        <v>0.82</v>
      </c>
    </row>
    <row r="61" spans="2:8" x14ac:dyDescent="0.25">
      <c r="B61" s="27" t="s">
        <v>106</v>
      </c>
      <c r="C61" s="10" t="s">
        <v>669</v>
      </c>
      <c r="D61" s="10" t="s">
        <v>670</v>
      </c>
      <c r="E61" s="27" t="s">
        <v>25</v>
      </c>
      <c r="F61" s="27" t="s">
        <v>94</v>
      </c>
      <c r="G61" s="27" t="s">
        <v>151</v>
      </c>
      <c r="H61" s="40">
        <f ca="1">Tabel2[[#This Row],[KEHADIRAN]]/100</f>
        <v>0.87</v>
      </c>
    </row>
    <row r="62" spans="2:8" x14ac:dyDescent="0.25">
      <c r="B62" s="27" t="s">
        <v>107</v>
      </c>
      <c r="C62" s="10" t="s">
        <v>671</v>
      </c>
      <c r="D62" s="10" t="s">
        <v>672</v>
      </c>
      <c r="E62" s="27" t="s">
        <v>25</v>
      </c>
      <c r="F62" s="27" t="s">
        <v>94</v>
      </c>
      <c r="G62" s="27" t="s">
        <v>151</v>
      </c>
      <c r="H62" s="40">
        <f ca="1">Tabel2[[#This Row],[KEHADIRAN]]/100</f>
        <v>0.94</v>
      </c>
    </row>
    <row r="63" spans="2:8" x14ac:dyDescent="0.25">
      <c r="B63" s="27" t="s">
        <v>108</v>
      </c>
      <c r="C63" s="10" t="s">
        <v>673</v>
      </c>
      <c r="D63" s="10" t="s">
        <v>674</v>
      </c>
      <c r="E63" s="27" t="s">
        <v>31</v>
      </c>
      <c r="F63" s="27" t="s">
        <v>39</v>
      </c>
      <c r="G63" s="27" t="s">
        <v>141</v>
      </c>
      <c r="H63" s="40">
        <f ca="1">Tabel2[[#This Row],[KEHADIRAN]]/100</f>
        <v>0.88</v>
      </c>
    </row>
    <row r="64" spans="2:8" x14ac:dyDescent="0.25">
      <c r="B64" s="27" t="s">
        <v>109</v>
      </c>
      <c r="C64" s="10" t="s">
        <v>678</v>
      </c>
      <c r="D64" s="10" t="s">
        <v>679</v>
      </c>
      <c r="E64" s="27" t="s">
        <v>31</v>
      </c>
      <c r="F64" s="27" t="s">
        <v>135</v>
      </c>
      <c r="G64" s="27" t="s">
        <v>174</v>
      </c>
      <c r="H64" s="40">
        <f ca="1">Tabel2[[#This Row],[KEHADIRAN]]/100</f>
        <v>0.87</v>
      </c>
    </row>
    <row r="65" spans="2:8" x14ac:dyDescent="0.25">
      <c r="B65" s="27" t="s">
        <v>110</v>
      </c>
      <c r="C65" s="10" t="s">
        <v>680</v>
      </c>
      <c r="D65" s="10" t="s">
        <v>681</v>
      </c>
      <c r="E65" s="27" t="s">
        <v>31</v>
      </c>
      <c r="F65" s="27" t="s">
        <v>94</v>
      </c>
      <c r="G65" s="27" t="s">
        <v>303</v>
      </c>
      <c r="H65" s="40">
        <f ca="1">Tabel2[[#This Row],[KEHADIRAN]]/100</f>
        <v>0.94</v>
      </c>
    </row>
    <row r="66" spans="2:8" x14ac:dyDescent="0.25">
      <c r="B66" s="27" t="s">
        <v>112</v>
      </c>
      <c r="C66" s="10" t="s">
        <v>685</v>
      </c>
      <c r="D66" s="10" t="s">
        <v>686</v>
      </c>
      <c r="E66" s="27" t="s">
        <v>31</v>
      </c>
      <c r="F66" s="27" t="s">
        <v>39</v>
      </c>
      <c r="G66" s="27" t="s">
        <v>97</v>
      </c>
      <c r="H66" s="40">
        <f ca="1">Tabel2[[#This Row],[KEHADIRAN]]/100</f>
        <v>0.8</v>
      </c>
    </row>
    <row r="67" spans="2:8" x14ac:dyDescent="0.25">
      <c r="B67" s="27" t="s">
        <v>114</v>
      </c>
      <c r="C67" s="10" t="s">
        <v>687</v>
      </c>
      <c r="D67" s="10" t="s">
        <v>688</v>
      </c>
      <c r="E67" s="27" t="s">
        <v>25</v>
      </c>
      <c r="F67" s="27" t="s">
        <v>94</v>
      </c>
      <c r="G67" s="27" t="s">
        <v>298</v>
      </c>
      <c r="H67" s="40">
        <f ca="1">Tabel2[[#This Row],[KEHADIRAN]]/100</f>
        <v>0.91</v>
      </c>
    </row>
    <row r="68" spans="2:8" x14ac:dyDescent="0.25">
      <c r="B68" s="27" t="s">
        <v>116</v>
      </c>
      <c r="C68" s="10" t="s">
        <v>689</v>
      </c>
      <c r="D68" s="10" t="s">
        <v>690</v>
      </c>
      <c r="E68" s="27" t="s">
        <v>25</v>
      </c>
      <c r="F68" s="27" t="s">
        <v>94</v>
      </c>
      <c r="G68" s="27" t="s">
        <v>146</v>
      </c>
      <c r="H68" s="40">
        <f ca="1">Tabel2[[#This Row],[KEHADIRAN]]/100</f>
        <v>0.87</v>
      </c>
    </row>
    <row r="69" spans="2:8" x14ac:dyDescent="0.25">
      <c r="B69" s="27" t="s">
        <v>118</v>
      </c>
      <c r="C69" s="10" t="s">
        <v>691</v>
      </c>
      <c r="D69" s="10" t="s">
        <v>692</v>
      </c>
      <c r="E69" s="27" t="s">
        <v>25</v>
      </c>
      <c r="F69" s="27" t="s">
        <v>94</v>
      </c>
      <c r="G69" s="27" t="s">
        <v>139</v>
      </c>
      <c r="H69" s="40">
        <f ca="1">Tabel2[[#This Row],[KEHADIRAN]]/100</f>
        <v>0.85</v>
      </c>
    </row>
    <row r="70" spans="2:8" x14ac:dyDescent="0.25">
      <c r="B70" s="27" t="s">
        <v>120</v>
      </c>
      <c r="C70" s="10" t="s">
        <v>693</v>
      </c>
      <c r="D70" s="10" t="s">
        <v>694</v>
      </c>
      <c r="E70" s="27" t="s">
        <v>25</v>
      </c>
      <c r="F70" s="27" t="s">
        <v>94</v>
      </c>
      <c r="G70" s="27" t="s">
        <v>405</v>
      </c>
      <c r="H70" s="40">
        <f ca="1">Tabel2[[#This Row],[KEHADIRAN]]/100</f>
        <v>0.97</v>
      </c>
    </row>
    <row r="71" spans="2:8" x14ac:dyDescent="0.25">
      <c r="B71" s="27" t="s">
        <v>11</v>
      </c>
      <c r="C71" s="10" t="s">
        <v>695</v>
      </c>
      <c r="D71" s="10" t="s">
        <v>696</v>
      </c>
      <c r="E71" s="27" t="s">
        <v>31</v>
      </c>
      <c r="F71" s="27" t="s">
        <v>32</v>
      </c>
      <c r="G71" s="27" t="s">
        <v>293</v>
      </c>
      <c r="H71" s="40">
        <f ca="1">Tabel2[[#This Row],[KEHADIRAN]]/100</f>
        <v>0.84</v>
      </c>
    </row>
    <row r="72" spans="2:8" x14ac:dyDescent="0.25">
      <c r="B72" s="27" t="s">
        <v>123</v>
      </c>
      <c r="C72" s="10" t="s">
        <v>697</v>
      </c>
      <c r="D72" s="10" t="s">
        <v>698</v>
      </c>
      <c r="E72" s="27" t="s">
        <v>25</v>
      </c>
      <c r="F72" s="27" t="s">
        <v>39</v>
      </c>
      <c r="G72" s="27" t="s">
        <v>298</v>
      </c>
      <c r="H72" s="40">
        <f ca="1">Tabel2[[#This Row],[KEHADIRAN]]/100</f>
        <v>0.98</v>
      </c>
    </row>
    <row r="73" spans="2:8" x14ac:dyDescent="0.25">
      <c r="B73" s="27" t="s">
        <v>125</v>
      </c>
      <c r="C73" s="10" t="s">
        <v>699</v>
      </c>
      <c r="D73" s="10" t="s">
        <v>700</v>
      </c>
      <c r="E73" s="27" t="s">
        <v>31</v>
      </c>
      <c r="F73" s="27" t="s">
        <v>88</v>
      </c>
      <c r="G73" s="27" t="s">
        <v>158</v>
      </c>
      <c r="H73" s="40">
        <f ca="1">Tabel2[[#This Row],[KEHADIRAN]]/100</f>
        <v>0.93</v>
      </c>
    </row>
    <row r="74" spans="2:8" x14ac:dyDescent="0.25">
      <c r="B74" s="27" t="s">
        <v>126</v>
      </c>
      <c r="C74" s="10" t="s">
        <v>701</v>
      </c>
      <c r="D74" s="10" t="s">
        <v>702</v>
      </c>
      <c r="E74" s="27" t="s">
        <v>31</v>
      </c>
      <c r="F74" s="27" t="s">
        <v>88</v>
      </c>
      <c r="G74" s="27" t="s">
        <v>177</v>
      </c>
      <c r="H74" s="40">
        <f ca="1">Tabel2[[#This Row],[KEHADIRAN]]/100</f>
        <v>0.8</v>
      </c>
    </row>
    <row r="75" spans="2:8" x14ac:dyDescent="0.25">
      <c r="B75" s="27" t="s">
        <v>128</v>
      </c>
      <c r="C75" s="10" t="s">
        <v>703</v>
      </c>
      <c r="D75" s="10" t="s">
        <v>704</v>
      </c>
      <c r="E75" s="27" t="s">
        <v>25</v>
      </c>
      <c r="F75" s="27" t="s">
        <v>39</v>
      </c>
      <c r="G75" s="27" t="s">
        <v>298</v>
      </c>
      <c r="H75" s="40">
        <f ca="1">Tabel2[[#This Row],[KEHADIRAN]]/100</f>
        <v>0.98</v>
      </c>
    </row>
    <row r="76" spans="2:8" x14ac:dyDescent="0.25">
      <c r="B76" s="27" t="s">
        <v>129</v>
      </c>
      <c r="C76" s="10" t="s">
        <v>705</v>
      </c>
      <c r="D76" s="10" t="s">
        <v>706</v>
      </c>
      <c r="E76" s="27" t="s">
        <v>25</v>
      </c>
      <c r="F76" s="27" t="s">
        <v>77</v>
      </c>
      <c r="G76" s="27" t="s">
        <v>212</v>
      </c>
      <c r="H76" s="40">
        <f ca="1">Tabel2[[#This Row],[KEHADIRAN]]/100</f>
        <v>0.95</v>
      </c>
    </row>
    <row r="77" spans="2:8" x14ac:dyDescent="0.25">
      <c r="B77" s="27" t="s">
        <v>131</v>
      </c>
      <c r="C77" s="10" t="s">
        <v>707</v>
      </c>
      <c r="D77" s="10" t="s">
        <v>708</v>
      </c>
      <c r="E77" s="27" t="s">
        <v>25</v>
      </c>
      <c r="F77" s="27" t="s">
        <v>77</v>
      </c>
      <c r="G77" s="27" t="s">
        <v>332</v>
      </c>
      <c r="H77" s="40">
        <f ca="1">Tabel2[[#This Row],[KEHADIRAN]]/100</f>
        <v>0.81</v>
      </c>
    </row>
    <row r="78" spans="2:8" x14ac:dyDescent="0.25">
      <c r="B78" s="27" t="s">
        <v>133</v>
      </c>
      <c r="C78" s="10" t="s">
        <v>709</v>
      </c>
      <c r="D78" s="10" t="s">
        <v>710</v>
      </c>
      <c r="E78" s="27" t="s">
        <v>31</v>
      </c>
      <c r="F78" s="27" t="s">
        <v>223</v>
      </c>
      <c r="G78" s="27" t="s">
        <v>83</v>
      </c>
      <c r="H78" s="40">
        <f ca="1">Tabel2[[#This Row],[KEHADIRAN]]/100</f>
        <v>0.85</v>
      </c>
    </row>
    <row r="79" spans="2:8" x14ac:dyDescent="0.25">
      <c r="B79" s="27" t="s">
        <v>134</v>
      </c>
      <c r="C79" s="10" t="s">
        <v>711</v>
      </c>
      <c r="D79" s="10" t="s">
        <v>712</v>
      </c>
      <c r="E79" s="27" t="s">
        <v>31</v>
      </c>
      <c r="F79" s="27" t="s">
        <v>20</v>
      </c>
      <c r="G79" s="27" t="s">
        <v>220</v>
      </c>
      <c r="H79" s="40">
        <f ca="1">Tabel2[[#This Row],[KEHADIRAN]]/100</f>
        <v>0.84</v>
      </c>
    </row>
    <row r="80" spans="2:8" x14ac:dyDescent="0.25">
      <c r="B80" s="27" t="s">
        <v>136</v>
      </c>
      <c r="C80" s="10" t="s">
        <v>713</v>
      </c>
      <c r="D80" s="10" t="s">
        <v>714</v>
      </c>
      <c r="E80" s="27" t="s">
        <v>31</v>
      </c>
      <c r="F80" s="27" t="s">
        <v>77</v>
      </c>
      <c r="G80" s="27" t="s">
        <v>269</v>
      </c>
      <c r="H80" s="40">
        <f ca="1">Tabel2[[#This Row],[KEHADIRAN]]/100</f>
        <v>0.88</v>
      </c>
    </row>
    <row r="81" spans="2:8" x14ac:dyDescent="0.25">
      <c r="B81" s="27" t="s">
        <v>138</v>
      </c>
      <c r="C81" s="10" t="s">
        <v>715</v>
      </c>
      <c r="D81" s="10" t="s">
        <v>716</v>
      </c>
      <c r="E81" s="27" t="s">
        <v>31</v>
      </c>
      <c r="F81" s="27" t="s">
        <v>238</v>
      </c>
      <c r="G81" s="27" t="s">
        <v>476</v>
      </c>
      <c r="H81" s="40">
        <f ca="1">Tabel2[[#This Row],[KEHADIRAN]]/100</f>
        <v>0.86</v>
      </c>
    </row>
    <row r="82" spans="2:8" x14ac:dyDescent="0.25">
      <c r="B82" s="27" t="s">
        <v>140</v>
      </c>
      <c r="C82" s="10" t="s">
        <v>717</v>
      </c>
      <c r="D82" s="10" t="s">
        <v>718</v>
      </c>
      <c r="E82" s="27" t="s">
        <v>31</v>
      </c>
      <c r="F82" s="27" t="s">
        <v>94</v>
      </c>
      <c r="G82" s="27" t="s">
        <v>410</v>
      </c>
      <c r="H82" s="40">
        <f ca="1">Tabel2[[#This Row],[KEHADIRAN]]/100</f>
        <v>0.97</v>
      </c>
    </row>
    <row r="83" spans="2:8" x14ac:dyDescent="0.25">
      <c r="B83" s="27" t="s">
        <v>142</v>
      </c>
      <c r="C83" s="10" t="s">
        <v>719</v>
      </c>
      <c r="D83" s="10" t="s">
        <v>720</v>
      </c>
      <c r="E83" s="27" t="s">
        <v>25</v>
      </c>
      <c r="F83" s="27" t="s">
        <v>70</v>
      </c>
      <c r="G83" s="27" t="s">
        <v>323</v>
      </c>
      <c r="H83" s="40">
        <f ca="1">Tabel2[[#This Row],[KEHADIRAN]]/100</f>
        <v>0.97</v>
      </c>
    </row>
    <row r="84" spans="2:8" x14ac:dyDescent="0.25">
      <c r="B84" s="27" t="s">
        <v>144</v>
      </c>
      <c r="C84" s="10" t="s">
        <v>721</v>
      </c>
      <c r="D84" s="10" t="s">
        <v>722</v>
      </c>
      <c r="E84" s="27" t="s">
        <v>31</v>
      </c>
      <c r="F84" s="27" t="s">
        <v>39</v>
      </c>
      <c r="G84" s="27" t="s">
        <v>36</v>
      </c>
      <c r="H84" s="40">
        <f ca="1">Tabel2[[#This Row],[KEHADIRAN]]/100</f>
        <v>0.83</v>
      </c>
    </row>
    <row r="85" spans="2:8" x14ac:dyDescent="0.25">
      <c r="B85" s="27" t="s">
        <v>145</v>
      </c>
      <c r="C85" s="10" t="s">
        <v>723</v>
      </c>
      <c r="D85" s="10" t="s">
        <v>724</v>
      </c>
      <c r="E85" s="27" t="s">
        <v>31</v>
      </c>
      <c r="F85" s="27" t="s">
        <v>70</v>
      </c>
      <c r="G85" s="27" t="s">
        <v>117</v>
      </c>
      <c r="H85" s="40">
        <f ca="1">Tabel2[[#This Row],[KEHADIRAN]]/100</f>
        <v>0.93</v>
      </c>
    </row>
    <row r="86" spans="2:8" x14ac:dyDescent="0.25">
      <c r="B86" s="27" t="s">
        <v>147</v>
      </c>
      <c r="C86" s="10" t="s">
        <v>725</v>
      </c>
      <c r="D86" s="10" t="s">
        <v>726</v>
      </c>
      <c r="E86" s="27" t="s">
        <v>31</v>
      </c>
      <c r="F86" s="27" t="s">
        <v>236</v>
      </c>
      <c r="G86" s="27" t="s">
        <v>303</v>
      </c>
      <c r="H86" s="40">
        <f ca="1">Tabel2[[#This Row],[KEHADIRAN]]/100</f>
        <v>0.99</v>
      </c>
    </row>
    <row r="87" spans="2:8" x14ac:dyDescent="0.25">
      <c r="B87" s="27" t="s">
        <v>148</v>
      </c>
      <c r="C87" s="10" t="s">
        <v>727</v>
      </c>
      <c r="D87" s="10" t="s">
        <v>728</v>
      </c>
      <c r="E87" s="27" t="s">
        <v>31</v>
      </c>
      <c r="F87" s="27" t="s">
        <v>135</v>
      </c>
      <c r="G87" s="27" t="s">
        <v>288</v>
      </c>
      <c r="H87" s="40">
        <f ca="1">Tabel2[[#This Row],[KEHADIRAN]]/100</f>
        <v>0.98</v>
      </c>
    </row>
    <row r="88" spans="2:8" x14ac:dyDescent="0.25">
      <c r="B88" s="27" t="s">
        <v>150</v>
      </c>
      <c r="C88" s="10" t="s">
        <v>729</v>
      </c>
      <c r="D88" s="10" t="s">
        <v>730</v>
      </c>
      <c r="E88" s="27" t="s">
        <v>25</v>
      </c>
      <c r="F88" s="27" t="s">
        <v>94</v>
      </c>
      <c r="G88" s="27" t="s">
        <v>141</v>
      </c>
      <c r="H88" s="40">
        <f ca="1">Tabel2[[#This Row],[KEHADIRAN]]/100</f>
        <v>0.9</v>
      </c>
    </row>
    <row r="89" spans="2:8" x14ac:dyDescent="0.25">
      <c r="B89" s="27" t="s">
        <v>152</v>
      </c>
      <c r="C89" s="10" t="s">
        <v>731</v>
      </c>
      <c r="D89" s="10" t="s">
        <v>732</v>
      </c>
      <c r="E89" s="27" t="s">
        <v>31</v>
      </c>
      <c r="F89" s="27" t="s">
        <v>135</v>
      </c>
      <c r="G89" s="27" t="s">
        <v>733</v>
      </c>
      <c r="H89" s="40">
        <f ca="1">Tabel2[[#This Row],[KEHADIRAN]]/100</f>
        <v>0.99</v>
      </c>
    </row>
    <row r="90" spans="2:8" x14ac:dyDescent="0.25">
      <c r="B90" s="27" t="s">
        <v>153</v>
      </c>
      <c r="C90" s="10" t="s">
        <v>734</v>
      </c>
      <c r="D90" s="10" t="s">
        <v>735</v>
      </c>
      <c r="E90" s="27" t="s">
        <v>6</v>
      </c>
      <c r="F90" s="27" t="s">
        <v>82</v>
      </c>
      <c r="G90" s="27" t="s">
        <v>736</v>
      </c>
      <c r="H90" s="40">
        <f ca="1">Tabel2[[#This Row],[KEHADIRAN]]/100</f>
        <v>0</v>
      </c>
    </row>
    <row r="91" spans="2:8" x14ac:dyDescent="0.25">
      <c r="B91" s="27" t="s">
        <v>155</v>
      </c>
      <c r="C91" s="10" t="s">
        <v>739</v>
      </c>
      <c r="D91" s="10" t="s">
        <v>740</v>
      </c>
      <c r="E91" s="27" t="s">
        <v>31</v>
      </c>
      <c r="F91" s="27" t="s">
        <v>77</v>
      </c>
      <c r="G91" s="27" t="s">
        <v>127</v>
      </c>
      <c r="H91" s="40">
        <f ca="1">Tabel2[[#This Row],[KEHADIRAN]]/100</f>
        <v>0.98</v>
      </c>
    </row>
    <row r="92" spans="2:8" x14ac:dyDescent="0.25">
      <c r="B92" s="27" t="s">
        <v>156</v>
      </c>
      <c r="C92" s="10" t="s">
        <v>741</v>
      </c>
      <c r="D92" s="10" t="s">
        <v>742</v>
      </c>
      <c r="E92" s="27" t="s">
        <v>31</v>
      </c>
      <c r="F92" s="27" t="s">
        <v>32</v>
      </c>
      <c r="G92" s="27" t="s">
        <v>132</v>
      </c>
      <c r="H92" s="40">
        <f ca="1">Tabel2[[#This Row],[KEHADIRAN]]/100</f>
        <v>0.98</v>
      </c>
    </row>
    <row r="93" spans="2:8" x14ac:dyDescent="0.25">
      <c r="B93" s="27" t="s">
        <v>157</v>
      </c>
      <c r="C93" s="10" t="s">
        <v>743</v>
      </c>
      <c r="D93" s="10" t="s">
        <v>744</v>
      </c>
      <c r="E93" s="27" t="s">
        <v>31</v>
      </c>
      <c r="F93" s="27" t="s">
        <v>223</v>
      </c>
      <c r="G93" s="27" t="s">
        <v>113</v>
      </c>
      <c r="H93" s="40">
        <f ca="1">Tabel2[[#This Row],[KEHADIRAN]]/100</f>
        <v>0.94</v>
      </c>
    </row>
    <row r="94" spans="2:8" x14ac:dyDescent="0.25">
      <c r="B94" s="27" t="s">
        <v>159</v>
      </c>
      <c r="C94" s="10" t="s">
        <v>745</v>
      </c>
      <c r="D94" s="10" t="s">
        <v>276</v>
      </c>
      <c r="E94" s="27" t="s">
        <v>31</v>
      </c>
      <c r="F94" s="27" t="s">
        <v>32</v>
      </c>
      <c r="G94" s="27" t="s">
        <v>169</v>
      </c>
      <c r="H94" s="40">
        <f ca="1">Tabel2[[#This Row],[KEHADIRAN]]/100</f>
        <v>0.88</v>
      </c>
    </row>
    <row r="95" spans="2:8" x14ac:dyDescent="0.25">
      <c r="B95" s="27" t="s">
        <v>161</v>
      </c>
      <c r="C95" s="10" t="s">
        <v>746</v>
      </c>
      <c r="D95" s="10" t="s">
        <v>747</v>
      </c>
      <c r="E95" s="27" t="s">
        <v>31</v>
      </c>
      <c r="F95" s="27" t="s">
        <v>26</v>
      </c>
      <c r="G95" s="27" t="s">
        <v>137</v>
      </c>
      <c r="H95" s="40">
        <f ca="1">Tabel2[[#This Row],[KEHADIRAN]]/100</f>
        <v>0.98</v>
      </c>
    </row>
    <row r="96" spans="2:8" x14ac:dyDescent="0.25">
      <c r="B96" s="27" t="s">
        <v>162</v>
      </c>
      <c r="C96" s="10" t="s">
        <v>748</v>
      </c>
      <c r="D96" s="10" t="s">
        <v>749</v>
      </c>
      <c r="E96" s="27" t="s">
        <v>31</v>
      </c>
      <c r="F96" s="27" t="s">
        <v>32</v>
      </c>
      <c r="G96" s="27" t="s">
        <v>403</v>
      </c>
      <c r="H96" s="40">
        <f ca="1">Tabel2[[#This Row],[KEHADIRAN]]/100</f>
        <v>1</v>
      </c>
    </row>
    <row r="97" spans="2:8" x14ac:dyDescent="0.25">
      <c r="B97" s="27" t="s">
        <v>163</v>
      </c>
      <c r="C97" s="10" t="s">
        <v>750</v>
      </c>
      <c r="D97" s="10" t="s">
        <v>751</v>
      </c>
      <c r="E97" s="27" t="s">
        <v>31</v>
      </c>
      <c r="F97" s="27" t="s">
        <v>53</v>
      </c>
      <c r="G97" s="27" t="s">
        <v>62</v>
      </c>
      <c r="H97" s="40">
        <f ca="1">Tabel2[[#This Row],[KEHADIRAN]]/100</f>
        <v>0.8</v>
      </c>
    </row>
    <row r="98" spans="2:8" x14ac:dyDescent="0.25">
      <c r="B98" s="27" t="s">
        <v>164</v>
      </c>
      <c r="C98" s="10" t="s">
        <v>752</v>
      </c>
      <c r="D98" s="10" t="s">
        <v>753</v>
      </c>
      <c r="E98" s="27" t="s">
        <v>31</v>
      </c>
      <c r="F98" s="27" t="s">
        <v>26</v>
      </c>
      <c r="G98" s="27" t="s">
        <v>111</v>
      </c>
      <c r="H98" s="40">
        <f ca="1">Tabel2[[#This Row],[KEHADIRAN]]/100</f>
        <v>0.85</v>
      </c>
    </row>
    <row r="99" spans="2:8" x14ac:dyDescent="0.25">
      <c r="B99" s="27" t="s">
        <v>165</v>
      </c>
      <c r="C99" s="10" t="s">
        <v>1181</v>
      </c>
      <c r="D99" s="10" t="s">
        <v>1182</v>
      </c>
      <c r="E99" s="27" t="s">
        <v>31</v>
      </c>
      <c r="F99" s="27" t="s">
        <v>32</v>
      </c>
      <c r="G99" s="27" t="s">
        <v>412</v>
      </c>
      <c r="H99" s="40">
        <f ca="1">Tabel2[[#This Row],[KEHADIRAN]]/100</f>
        <v>0.88</v>
      </c>
    </row>
    <row r="100" spans="2:8" x14ac:dyDescent="0.25">
      <c r="B100" s="27" t="s">
        <v>34</v>
      </c>
      <c r="C100" s="10" t="s">
        <v>757</v>
      </c>
      <c r="D100" s="10" t="s">
        <v>406</v>
      </c>
      <c r="E100" s="27" t="s">
        <v>31</v>
      </c>
      <c r="F100" s="27" t="s">
        <v>32</v>
      </c>
      <c r="G100" s="27" t="s">
        <v>416</v>
      </c>
      <c r="H100" s="40">
        <f ca="1">Tabel2[[#This Row],[KEHADIRAN]]/100</f>
        <v>0.99</v>
      </c>
    </row>
    <row r="101" spans="2:8" x14ac:dyDescent="0.25">
      <c r="B101" s="27" t="s">
        <v>167</v>
      </c>
      <c r="C101" s="10" t="s">
        <v>758</v>
      </c>
      <c r="D101" s="10" t="s">
        <v>759</v>
      </c>
      <c r="E101" s="27" t="s">
        <v>31</v>
      </c>
      <c r="F101" s="27" t="s">
        <v>223</v>
      </c>
      <c r="G101" s="27" t="s">
        <v>119</v>
      </c>
      <c r="H101" s="40">
        <f ca="1">Tabel2[[#This Row],[KEHADIRAN]]/100</f>
        <v>0.88</v>
      </c>
    </row>
    <row r="102" spans="2:8" x14ac:dyDescent="0.25">
      <c r="B102" s="27" t="s">
        <v>168</v>
      </c>
      <c r="C102" s="10" t="s">
        <v>760</v>
      </c>
      <c r="D102" s="10" t="s">
        <v>761</v>
      </c>
      <c r="E102" s="27" t="s">
        <v>31</v>
      </c>
      <c r="F102" s="27" t="s">
        <v>32</v>
      </c>
      <c r="G102" s="27" t="s">
        <v>416</v>
      </c>
      <c r="H102" s="40">
        <f ca="1">Tabel2[[#This Row],[KEHADIRAN]]/100</f>
        <v>0.8</v>
      </c>
    </row>
    <row r="103" spans="2:8" x14ac:dyDescent="0.25">
      <c r="B103" s="27" t="s">
        <v>22</v>
      </c>
      <c r="C103" s="10" t="s">
        <v>762</v>
      </c>
      <c r="D103" s="10" t="s">
        <v>763</v>
      </c>
      <c r="E103" s="27" t="s">
        <v>31</v>
      </c>
      <c r="F103" s="27" t="s">
        <v>32</v>
      </c>
      <c r="G103" s="27" t="s">
        <v>271</v>
      </c>
      <c r="H103" s="40">
        <f ca="1">Tabel2[[#This Row],[KEHADIRAN]]/100</f>
        <v>0.82</v>
      </c>
    </row>
    <row r="104" spans="2:8" x14ac:dyDescent="0.25">
      <c r="B104" s="27" t="s">
        <v>102</v>
      </c>
      <c r="C104" s="10" t="s">
        <v>764</v>
      </c>
      <c r="D104" s="10" t="s">
        <v>765</v>
      </c>
      <c r="E104" s="27" t="s">
        <v>31</v>
      </c>
      <c r="F104" s="27" t="s">
        <v>219</v>
      </c>
      <c r="G104" s="27" t="s">
        <v>121</v>
      </c>
      <c r="H104" s="40">
        <f ca="1">Tabel2[[#This Row],[KEHADIRAN]]/100</f>
        <v>0.92</v>
      </c>
    </row>
    <row r="105" spans="2:8" x14ac:dyDescent="0.25">
      <c r="B105" s="27" t="s">
        <v>170</v>
      </c>
      <c r="C105" s="10" t="s">
        <v>766</v>
      </c>
      <c r="D105" s="10" t="s">
        <v>767</v>
      </c>
      <c r="E105" s="27" t="s">
        <v>31</v>
      </c>
      <c r="F105" s="27" t="s">
        <v>26</v>
      </c>
      <c r="G105" s="27" t="s">
        <v>151</v>
      </c>
      <c r="H105" s="40">
        <f ca="1">Tabel2[[#This Row],[KEHADIRAN]]/100</f>
        <v>0.84</v>
      </c>
    </row>
    <row r="106" spans="2:8" x14ac:dyDescent="0.25">
      <c r="B106" s="27" t="s">
        <v>171</v>
      </c>
      <c r="C106" s="10" t="s">
        <v>768</v>
      </c>
      <c r="D106" s="10" t="s">
        <v>769</v>
      </c>
      <c r="E106" s="27" t="s">
        <v>31</v>
      </c>
      <c r="F106" s="27" t="s">
        <v>26</v>
      </c>
      <c r="G106" s="27" t="s">
        <v>139</v>
      </c>
      <c r="H106" s="40">
        <f ca="1">Tabel2[[#This Row],[KEHADIRAN]]/100</f>
        <v>0.88</v>
      </c>
    </row>
    <row r="107" spans="2:8" x14ac:dyDescent="0.25">
      <c r="B107" s="27" t="s">
        <v>173</v>
      </c>
      <c r="C107" s="10" t="s">
        <v>770</v>
      </c>
      <c r="D107" s="10" t="s">
        <v>771</v>
      </c>
      <c r="E107" s="27" t="s">
        <v>31</v>
      </c>
      <c r="F107" s="27" t="s">
        <v>32</v>
      </c>
      <c r="G107" s="27" t="s">
        <v>130</v>
      </c>
      <c r="H107" s="40">
        <f ca="1">Tabel2[[#This Row],[KEHADIRAN]]/100</f>
        <v>0.83</v>
      </c>
    </row>
    <row r="108" spans="2:8" x14ac:dyDescent="0.25">
      <c r="B108" s="27" t="s">
        <v>175</v>
      </c>
      <c r="C108" s="10" t="s">
        <v>772</v>
      </c>
      <c r="D108" s="10" t="s">
        <v>773</v>
      </c>
      <c r="E108" s="27" t="s">
        <v>31</v>
      </c>
      <c r="F108" s="27" t="s">
        <v>53</v>
      </c>
      <c r="G108" s="27" t="s">
        <v>143</v>
      </c>
      <c r="H108" s="40">
        <f ca="1">Tabel2[[#This Row],[KEHADIRAN]]/100</f>
        <v>0.83</v>
      </c>
    </row>
    <row r="109" spans="2:8" x14ac:dyDescent="0.25">
      <c r="B109" s="27" t="s">
        <v>176</v>
      </c>
      <c r="C109" s="10" t="s">
        <v>774</v>
      </c>
      <c r="D109" s="10" t="s">
        <v>775</v>
      </c>
      <c r="E109" s="27" t="s">
        <v>31</v>
      </c>
      <c r="F109" s="27" t="s">
        <v>26</v>
      </c>
      <c r="G109" s="27" t="s">
        <v>248</v>
      </c>
      <c r="H109" s="40">
        <f ca="1">Tabel2[[#This Row],[KEHADIRAN]]/100</f>
        <v>0.94</v>
      </c>
    </row>
    <row r="110" spans="2:8" x14ac:dyDescent="0.25">
      <c r="B110" s="27" t="s">
        <v>178</v>
      </c>
      <c r="C110" s="10" t="s">
        <v>776</v>
      </c>
      <c r="D110" s="10" t="s">
        <v>777</v>
      </c>
      <c r="E110" s="27" t="s">
        <v>31</v>
      </c>
      <c r="F110" s="27" t="s">
        <v>32</v>
      </c>
      <c r="G110" s="27" t="s">
        <v>403</v>
      </c>
      <c r="H110" s="40">
        <f ca="1">Tabel2[[#This Row],[KEHADIRAN]]/100</f>
        <v>0.85</v>
      </c>
    </row>
    <row r="111" spans="2:8" x14ac:dyDescent="0.25">
      <c r="B111" s="27" t="s">
        <v>179</v>
      </c>
      <c r="C111" s="10" t="s">
        <v>778</v>
      </c>
      <c r="D111" s="10" t="s">
        <v>779</v>
      </c>
      <c r="E111" s="27" t="s">
        <v>31</v>
      </c>
      <c r="F111" s="27" t="s">
        <v>26</v>
      </c>
      <c r="G111" s="27" t="s">
        <v>141</v>
      </c>
      <c r="H111" s="40">
        <f ca="1">Tabel2[[#This Row],[KEHADIRAN]]/100</f>
        <v>0.81</v>
      </c>
    </row>
    <row r="112" spans="2:8" x14ac:dyDescent="0.25">
      <c r="B112" s="27" t="s">
        <v>180</v>
      </c>
      <c r="C112" s="10" t="s">
        <v>780</v>
      </c>
      <c r="D112" s="10" t="s">
        <v>781</v>
      </c>
      <c r="E112" s="27" t="s">
        <v>31</v>
      </c>
      <c r="F112" s="27" t="s">
        <v>26</v>
      </c>
      <c r="G112" s="27" t="s">
        <v>169</v>
      </c>
      <c r="H112" s="40">
        <f ca="1">Tabel2[[#This Row],[KEHADIRAN]]/100</f>
        <v>0.84</v>
      </c>
    </row>
    <row r="113" spans="2:8" x14ac:dyDescent="0.25">
      <c r="B113" s="27" t="s">
        <v>182</v>
      </c>
      <c r="C113" s="10" t="s">
        <v>782</v>
      </c>
      <c r="D113" s="10" t="s">
        <v>783</v>
      </c>
      <c r="E113" s="27" t="s">
        <v>31</v>
      </c>
      <c r="F113" s="27" t="s">
        <v>32</v>
      </c>
      <c r="G113" s="27" t="s">
        <v>122</v>
      </c>
      <c r="H113" s="40">
        <f ca="1">Tabel2[[#This Row],[KEHADIRAN]]/100</f>
        <v>0.86</v>
      </c>
    </row>
    <row r="114" spans="2:8" x14ac:dyDescent="0.25">
      <c r="B114" s="27" t="s">
        <v>184</v>
      </c>
      <c r="C114" s="10" t="s">
        <v>784</v>
      </c>
      <c r="D114" s="10" t="s">
        <v>785</v>
      </c>
      <c r="E114" s="27" t="s">
        <v>31</v>
      </c>
      <c r="F114" s="27" t="s">
        <v>26</v>
      </c>
      <c r="G114" s="27" t="s">
        <v>130</v>
      </c>
      <c r="H114" s="40">
        <f ca="1">Tabel2[[#This Row],[KEHADIRAN]]/100</f>
        <v>1</v>
      </c>
    </row>
    <row r="115" spans="2:8" x14ac:dyDescent="0.25">
      <c r="B115" s="27" t="s">
        <v>186</v>
      </c>
      <c r="C115" s="10" t="s">
        <v>786</v>
      </c>
      <c r="D115" s="10" t="s">
        <v>787</v>
      </c>
      <c r="E115" s="27" t="s">
        <v>31</v>
      </c>
      <c r="F115" s="27" t="s">
        <v>32</v>
      </c>
      <c r="G115" s="27" t="s">
        <v>143</v>
      </c>
      <c r="H115" s="40">
        <f ca="1">Tabel2[[#This Row],[KEHADIRAN]]/100</f>
        <v>0.88</v>
      </c>
    </row>
    <row r="116" spans="2:8" x14ac:dyDescent="0.25">
      <c r="B116" s="27" t="s">
        <v>187</v>
      </c>
      <c r="C116" s="10" t="s">
        <v>788</v>
      </c>
      <c r="D116" s="10" t="s">
        <v>789</v>
      </c>
      <c r="E116" s="27" t="s">
        <v>31</v>
      </c>
      <c r="F116" s="27" t="s">
        <v>26</v>
      </c>
      <c r="G116" s="27" t="s">
        <v>132</v>
      </c>
      <c r="H116" s="40">
        <f ca="1">Tabel2[[#This Row],[KEHADIRAN]]/100</f>
        <v>0.8</v>
      </c>
    </row>
    <row r="117" spans="2:8" x14ac:dyDescent="0.25">
      <c r="B117" s="27" t="s">
        <v>189</v>
      </c>
      <c r="C117" s="10" t="s">
        <v>790</v>
      </c>
      <c r="D117" s="10" t="s">
        <v>262</v>
      </c>
      <c r="E117" s="27" t="s">
        <v>31</v>
      </c>
      <c r="F117" s="27" t="s">
        <v>26</v>
      </c>
      <c r="G117" s="27" t="s">
        <v>416</v>
      </c>
      <c r="H117" s="40">
        <f ca="1">Tabel2[[#This Row],[KEHADIRAN]]/100</f>
        <v>0.98</v>
      </c>
    </row>
    <row r="118" spans="2:8" x14ac:dyDescent="0.25">
      <c r="B118" s="27" t="s">
        <v>191</v>
      </c>
      <c r="C118" s="10" t="s">
        <v>791</v>
      </c>
      <c r="D118" s="10" t="s">
        <v>792</v>
      </c>
      <c r="E118" s="27" t="s">
        <v>31</v>
      </c>
      <c r="F118" s="27" t="s">
        <v>32</v>
      </c>
      <c r="G118" s="27" t="s">
        <v>62</v>
      </c>
      <c r="H118" s="40">
        <f ca="1">Tabel2[[#This Row],[KEHADIRAN]]/100</f>
        <v>0.85</v>
      </c>
    </row>
    <row r="119" spans="2:8" x14ac:dyDescent="0.25">
      <c r="B119" s="27" t="s">
        <v>192</v>
      </c>
      <c r="C119" s="10" t="s">
        <v>793</v>
      </c>
      <c r="D119" s="10" t="s">
        <v>794</v>
      </c>
      <c r="E119" s="27" t="s">
        <v>31</v>
      </c>
      <c r="F119" s="27" t="s">
        <v>26</v>
      </c>
      <c r="G119" s="27" t="s">
        <v>119</v>
      </c>
      <c r="H119" s="40">
        <f ca="1">Tabel2[[#This Row],[KEHADIRAN]]/100</f>
        <v>0.98</v>
      </c>
    </row>
    <row r="120" spans="2:8" x14ac:dyDescent="0.25">
      <c r="B120" s="27" t="s">
        <v>194</v>
      </c>
      <c r="C120" s="10" t="s">
        <v>795</v>
      </c>
      <c r="D120" s="10" t="s">
        <v>796</v>
      </c>
      <c r="E120" s="27" t="s">
        <v>31</v>
      </c>
      <c r="F120" s="27" t="s">
        <v>32</v>
      </c>
      <c r="G120" s="27" t="s">
        <v>412</v>
      </c>
      <c r="H120" s="40">
        <f ca="1">Tabel2[[#This Row],[KEHADIRAN]]/100</f>
        <v>0.87</v>
      </c>
    </row>
    <row r="121" spans="2:8" x14ac:dyDescent="0.25">
      <c r="B121" s="27" t="s">
        <v>195</v>
      </c>
      <c r="C121" s="10" t="s">
        <v>797</v>
      </c>
      <c r="D121" s="10" t="s">
        <v>798</v>
      </c>
      <c r="E121" s="27" t="s">
        <v>31</v>
      </c>
      <c r="F121" s="27" t="s">
        <v>51</v>
      </c>
      <c r="G121" s="27" t="s">
        <v>342</v>
      </c>
      <c r="H121" s="40">
        <f ca="1">Tabel2[[#This Row],[KEHADIRAN]]/100</f>
        <v>0.81</v>
      </c>
    </row>
    <row r="122" spans="2:8" x14ac:dyDescent="0.25">
      <c r="B122" s="27" t="s">
        <v>196</v>
      </c>
      <c r="C122" s="10" t="s">
        <v>799</v>
      </c>
      <c r="D122" s="10" t="s">
        <v>800</v>
      </c>
      <c r="E122" s="27" t="s">
        <v>31</v>
      </c>
      <c r="F122" s="27" t="s">
        <v>32</v>
      </c>
      <c r="G122" s="27" t="s">
        <v>332</v>
      </c>
      <c r="H122" s="40">
        <f ca="1">Tabel2[[#This Row],[KEHADIRAN]]/100</f>
        <v>0.88</v>
      </c>
    </row>
    <row r="123" spans="2:8" x14ac:dyDescent="0.25">
      <c r="B123" s="27" t="s">
        <v>44</v>
      </c>
      <c r="C123" s="10" t="s">
        <v>801</v>
      </c>
      <c r="D123" s="10" t="s">
        <v>406</v>
      </c>
      <c r="E123" s="27" t="s">
        <v>31</v>
      </c>
      <c r="F123" s="27" t="s">
        <v>32</v>
      </c>
      <c r="G123" s="27" t="s">
        <v>122</v>
      </c>
      <c r="H123" s="40">
        <f ca="1">Tabel2[[#This Row],[KEHADIRAN]]/100</f>
        <v>0.92</v>
      </c>
    </row>
    <row r="124" spans="2:8" x14ac:dyDescent="0.25">
      <c r="B124" s="27" t="s">
        <v>197</v>
      </c>
      <c r="C124" s="10" t="s">
        <v>802</v>
      </c>
      <c r="D124" s="10" t="s">
        <v>803</v>
      </c>
      <c r="E124" s="27" t="s">
        <v>31</v>
      </c>
      <c r="F124" s="27" t="s">
        <v>32</v>
      </c>
      <c r="G124" s="27" t="s">
        <v>139</v>
      </c>
      <c r="H124" s="40">
        <f ca="1">Tabel2[[#This Row],[KEHADIRAN]]/100</f>
        <v>0.9</v>
      </c>
    </row>
    <row r="125" spans="2:8" x14ac:dyDescent="0.25">
      <c r="B125" s="27" t="s">
        <v>198</v>
      </c>
      <c r="C125" s="10" t="s">
        <v>804</v>
      </c>
      <c r="D125" s="10" t="s">
        <v>805</v>
      </c>
      <c r="E125" s="27" t="s">
        <v>31</v>
      </c>
      <c r="F125" s="27" t="s">
        <v>26</v>
      </c>
      <c r="G125" s="27" t="s">
        <v>403</v>
      </c>
      <c r="H125" s="40">
        <f ca="1">Tabel2[[#This Row],[KEHADIRAN]]/100</f>
        <v>0.93</v>
      </c>
    </row>
    <row r="126" spans="2:8" x14ac:dyDescent="0.25">
      <c r="B126" s="27" t="s">
        <v>200</v>
      </c>
      <c r="C126" s="10" t="s">
        <v>806</v>
      </c>
      <c r="D126" s="10" t="s">
        <v>807</v>
      </c>
      <c r="E126" s="27" t="s">
        <v>31</v>
      </c>
      <c r="F126" s="27" t="s">
        <v>26</v>
      </c>
      <c r="G126" s="27" t="s">
        <v>404</v>
      </c>
      <c r="H126" s="40">
        <f ca="1">Tabel2[[#This Row],[KEHADIRAN]]/100</f>
        <v>0.86</v>
      </c>
    </row>
    <row r="127" spans="2:8" x14ac:dyDescent="0.25">
      <c r="B127" s="27" t="s">
        <v>201</v>
      </c>
      <c r="C127" s="10" t="s">
        <v>808</v>
      </c>
      <c r="D127" s="10" t="s">
        <v>809</v>
      </c>
      <c r="E127" s="27" t="s">
        <v>31</v>
      </c>
      <c r="F127" s="27" t="s">
        <v>26</v>
      </c>
      <c r="G127" s="27" t="s">
        <v>143</v>
      </c>
      <c r="H127" s="40">
        <f ca="1">Tabel2[[#This Row],[KEHADIRAN]]/100</f>
        <v>0.97</v>
      </c>
    </row>
    <row r="128" spans="2:8" x14ac:dyDescent="0.25">
      <c r="B128" s="27" t="s">
        <v>9</v>
      </c>
      <c r="C128" s="10" t="s">
        <v>810</v>
      </c>
      <c r="D128" s="10" t="s">
        <v>811</v>
      </c>
      <c r="E128" s="27" t="s">
        <v>31</v>
      </c>
      <c r="F128" s="27" t="s">
        <v>26</v>
      </c>
      <c r="G128" s="27" t="s">
        <v>122</v>
      </c>
      <c r="H128" s="40">
        <f ca="1">Tabel2[[#This Row],[KEHADIRAN]]/100</f>
        <v>1</v>
      </c>
    </row>
    <row r="129" spans="2:8" x14ac:dyDescent="0.25">
      <c r="B129" s="27" t="s">
        <v>202</v>
      </c>
      <c r="C129" s="10" t="s">
        <v>812</v>
      </c>
      <c r="D129" s="10" t="s">
        <v>813</v>
      </c>
      <c r="E129" s="27" t="s">
        <v>31</v>
      </c>
      <c r="F129" s="27" t="s">
        <v>219</v>
      </c>
      <c r="G129" s="27" t="s">
        <v>248</v>
      </c>
      <c r="H129" s="40">
        <f ca="1">Tabel2[[#This Row],[KEHADIRAN]]/100</f>
        <v>0.89</v>
      </c>
    </row>
    <row r="130" spans="2:8" x14ac:dyDescent="0.25">
      <c r="B130" s="27" t="s">
        <v>204</v>
      </c>
      <c r="C130" s="10" t="s">
        <v>814</v>
      </c>
      <c r="D130" s="10" t="s">
        <v>815</v>
      </c>
      <c r="E130" s="27" t="s">
        <v>31</v>
      </c>
      <c r="F130" s="27" t="s">
        <v>26</v>
      </c>
      <c r="G130" s="27" t="s">
        <v>62</v>
      </c>
      <c r="H130" s="40">
        <f ca="1">Tabel2[[#This Row],[KEHADIRAN]]/100</f>
        <v>0.97</v>
      </c>
    </row>
    <row r="131" spans="2:8" x14ac:dyDescent="0.25">
      <c r="B131" s="27" t="s">
        <v>205</v>
      </c>
      <c r="C131" s="10" t="s">
        <v>816</v>
      </c>
      <c r="D131" s="10" t="s">
        <v>817</v>
      </c>
      <c r="E131" s="27" t="s">
        <v>31</v>
      </c>
      <c r="F131" s="27" t="s">
        <v>214</v>
      </c>
      <c r="G131" s="27" t="s">
        <v>229</v>
      </c>
      <c r="H131" s="40">
        <f ca="1">Tabel2[[#This Row],[KEHADIRAN]]/100</f>
        <v>1</v>
      </c>
    </row>
    <row r="132" spans="2:8" x14ac:dyDescent="0.25">
      <c r="B132" s="27" t="s">
        <v>206</v>
      </c>
      <c r="C132" s="10" t="s">
        <v>818</v>
      </c>
      <c r="D132" s="10" t="s">
        <v>819</v>
      </c>
      <c r="E132" s="27" t="s">
        <v>31</v>
      </c>
      <c r="F132" s="27" t="s">
        <v>231</v>
      </c>
      <c r="G132" s="27" t="s">
        <v>111</v>
      </c>
      <c r="H132" s="40">
        <f ca="1">Tabel2[[#This Row],[KEHADIRAN]]/100</f>
        <v>0.8</v>
      </c>
    </row>
    <row r="133" spans="2:8" x14ac:dyDescent="0.25">
      <c r="B133" s="27" t="s">
        <v>15</v>
      </c>
      <c r="C133" s="10" t="s">
        <v>820</v>
      </c>
      <c r="D133" s="10" t="s">
        <v>821</v>
      </c>
      <c r="E133" s="27" t="s">
        <v>31</v>
      </c>
      <c r="F133" s="27" t="s">
        <v>32</v>
      </c>
      <c r="G133" s="27" t="s">
        <v>115</v>
      </c>
      <c r="H133" s="40">
        <f ca="1">Tabel2[[#This Row],[KEHADIRAN]]/100</f>
        <v>0.86</v>
      </c>
    </row>
    <row r="134" spans="2:8" x14ac:dyDescent="0.25">
      <c r="B134" s="27" t="s">
        <v>207</v>
      </c>
      <c r="C134" s="10" t="s">
        <v>822</v>
      </c>
      <c r="D134" s="10" t="s">
        <v>823</v>
      </c>
      <c r="E134" s="27" t="s">
        <v>31</v>
      </c>
      <c r="F134" s="27" t="s">
        <v>223</v>
      </c>
      <c r="G134" s="27" t="s">
        <v>113</v>
      </c>
      <c r="H134" s="40">
        <f ca="1">Tabel2[[#This Row],[KEHADIRAN]]/100</f>
        <v>0.95</v>
      </c>
    </row>
    <row r="135" spans="2:8" x14ac:dyDescent="0.25">
      <c r="B135" s="27" t="s">
        <v>208</v>
      </c>
      <c r="C135" s="10" t="s">
        <v>824</v>
      </c>
      <c r="D135" s="10" t="s">
        <v>825</v>
      </c>
      <c r="E135" s="27" t="s">
        <v>31</v>
      </c>
      <c r="F135" s="27" t="s">
        <v>231</v>
      </c>
      <c r="G135" s="27" t="s">
        <v>412</v>
      </c>
      <c r="H135" s="40">
        <f ca="1">Tabel2[[#This Row],[KEHADIRAN]]/100</f>
        <v>0.94</v>
      </c>
    </row>
    <row r="136" spans="2:8" x14ac:dyDescent="0.25">
      <c r="B136" s="27" t="s">
        <v>209</v>
      </c>
      <c r="C136" s="10" t="s">
        <v>828</v>
      </c>
      <c r="D136" s="10" t="s">
        <v>829</v>
      </c>
      <c r="E136" s="27" t="s">
        <v>31</v>
      </c>
      <c r="F136" s="27" t="s">
        <v>53</v>
      </c>
      <c r="G136" s="27" t="s">
        <v>62</v>
      </c>
      <c r="H136" s="40">
        <f ca="1">Tabel2[[#This Row],[KEHADIRAN]]/100</f>
        <v>0.83</v>
      </c>
    </row>
    <row r="137" spans="2:8" x14ac:dyDescent="0.25">
      <c r="B137" s="27" t="s">
        <v>28</v>
      </c>
      <c r="C137" s="10" t="s">
        <v>830</v>
      </c>
      <c r="D137" s="10" t="s">
        <v>831</v>
      </c>
      <c r="E137" s="27" t="s">
        <v>31</v>
      </c>
      <c r="F137" s="27" t="s">
        <v>223</v>
      </c>
      <c r="G137" s="27" t="s">
        <v>177</v>
      </c>
      <c r="H137" s="40">
        <f ca="1">Tabel2[[#This Row],[KEHADIRAN]]/100</f>
        <v>0.8</v>
      </c>
    </row>
    <row r="138" spans="2:8" x14ac:dyDescent="0.25">
      <c r="B138" s="27" t="s">
        <v>210</v>
      </c>
      <c r="C138" s="10" t="s">
        <v>832</v>
      </c>
      <c r="D138" s="10" t="s">
        <v>833</v>
      </c>
      <c r="E138" s="27" t="s">
        <v>31</v>
      </c>
      <c r="F138" s="27" t="s">
        <v>32</v>
      </c>
      <c r="G138" s="27" t="s">
        <v>115</v>
      </c>
      <c r="H138" s="40">
        <f ca="1">Tabel2[[#This Row],[KEHADIRAN]]/100</f>
        <v>0.9</v>
      </c>
    </row>
    <row r="139" spans="2:8" x14ac:dyDescent="0.25">
      <c r="B139" s="27" t="s">
        <v>211</v>
      </c>
      <c r="C139" s="10" t="s">
        <v>834</v>
      </c>
      <c r="D139" s="10" t="s">
        <v>835</v>
      </c>
      <c r="E139" s="27" t="s">
        <v>31</v>
      </c>
      <c r="F139" s="27" t="s">
        <v>32</v>
      </c>
      <c r="G139" s="27" t="s">
        <v>412</v>
      </c>
      <c r="H139" s="40">
        <f ca="1">Tabel2[[#This Row],[KEHADIRAN]]/100</f>
        <v>0.92</v>
      </c>
    </row>
    <row r="140" spans="2:8" x14ac:dyDescent="0.25">
      <c r="B140" s="27" t="s">
        <v>60</v>
      </c>
      <c r="C140" s="10" t="s">
        <v>836</v>
      </c>
      <c r="D140" s="10" t="s">
        <v>837</v>
      </c>
      <c r="E140" s="27" t="s">
        <v>31</v>
      </c>
      <c r="F140" s="27" t="s">
        <v>32</v>
      </c>
      <c r="G140" s="27" t="s">
        <v>248</v>
      </c>
      <c r="H140" s="40">
        <f ca="1">Tabel2[[#This Row],[KEHADIRAN]]/100</f>
        <v>0.85</v>
      </c>
    </row>
    <row r="141" spans="2:8" x14ac:dyDescent="0.25">
      <c r="B141" s="27" t="s">
        <v>13</v>
      </c>
      <c r="C141" s="10" t="s">
        <v>838</v>
      </c>
      <c r="D141" s="10" t="s">
        <v>839</v>
      </c>
      <c r="E141" s="27" t="s">
        <v>31</v>
      </c>
      <c r="F141" s="27" t="s">
        <v>200</v>
      </c>
      <c r="G141" s="27" t="s">
        <v>298</v>
      </c>
      <c r="H141" s="40">
        <f ca="1">Tabel2[[#This Row],[KEHADIRAN]]/100</f>
        <v>0.94</v>
      </c>
    </row>
    <row r="142" spans="2:8" x14ac:dyDescent="0.25">
      <c r="B142" s="27" t="s">
        <v>214</v>
      </c>
      <c r="C142" s="10" t="s">
        <v>840</v>
      </c>
      <c r="D142" s="10" t="s">
        <v>841</v>
      </c>
      <c r="E142" s="27" t="s">
        <v>31</v>
      </c>
      <c r="F142" s="27" t="s">
        <v>135</v>
      </c>
      <c r="G142" s="27" t="s">
        <v>141</v>
      </c>
      <c r="H142" s="40">
        <f ca="1">Tabel2[[#This Row],[KEHADIRAN]]/100</f>
        <v>0.89</v>
      </c>
    </row>
    <row r="143" spans="2:8" x14ac:dyDescent="0.25">
      <c r="B143" s="27" t="s">
        <v>20</v>
      </c>
      <c r="C143" s="10" t="s">
        <v>842</v>
      </c>
      <c r="D143" s="10" t="s">
        <v>843</v>
      </c>
      <c r="E143" s="27" t="s">
        <v>31</v>
      </c>
      <c r="F143" s="27" t="s">
        <v>32</v>
      </c>
      <c r="G143" s="27" t="s">
        <v>111</v>
      </c>
      <c r="H143" s="40">
        <f ca="1">Tabel2[[#This Row],[KEHADIRAN]]/100</f>
        <v>0.8</v>
      </c>
    </row>
    <row r="144" spans="2:8" x14ac:dyDescent="0.25">
      <c r="B144" s="27" t="s">
        <v>216</v>
      </c>
      <c r="C144" s="10" t="s">
        <v>844</v>
      </c>
      <c r="D144" s="10" t="s">
        <v>845</v>
      </c>
      <c r="E144" s="27" t="s">
        <v>31</v>
      </c>
      <c r="F144" s="27" t="s">
        <v>175</v>
      </c>
      <c r="G144" s="27" t="s">
        <v>846</v>
      </c>
      <c r="H144" s="40">
        <f ca="1">Tabel2[[#This Row],[KEHADIRAN]]/100</f>
        <v>0.93</v>
      </c>
    </row>
    <row r="145" spans="2:8" x14ac:dyDescent="0.25">
      <c r="B145" s="27" t="s">
        <v>7</v>
      </c>
      <c r="C145" s="10" t="s">
        <v>847</v>
      </c>
      <c r="D145" s="10" t="s">
        <v>848</v>
      </c>
      <c r="E145" s="27" t="s">
        <v>31</v>
      </c>
      <c r="F145" s="27" t="s">
        <v>53</v>
      </c>
      <c r="G145" s="27" t="s">
        <v>355</v>
      </c>
      <c r="H145" s="40">
        <f ca="1">Tabel2[[#This Row],[KEHADIRAN]]/100</f>
        <v>0.97</v>
      </c>
    </row>
    <row r="146" spans="2:8" x14ac:dyDescent="0.25">
      <c r="B146" s="27" t="s">
        <v>51</v>
      </c>
      <c r="C146" s="10" t="s">
        <v>849</v>
      </c>
      <c r="D146" s="10" t="s">
        <v>850</v>
      </c>
      <c r="E146" s="27" t="s">
        <v>31</v>
      </c>
      <c r="F146" s="27" t="s">
        <v>53</v>
      </c>
      <c r="G146" s="27" t="s">
        <v>241</v>
      </c>
      <c r="H146" s="40">
        <f ca="1">Tabel2[[#This Row],[KEHADIRAN]]/100</f>
        <v>0.86</v>
      </c>
    </row>
    <row r="147" spans="2:8" x14ac:dyDescent="0.25">
      <c r="B147" s="27" t="s">
        <v>94</v>
      </c>
      <c r="C147" s="10" t="s">
        <v>851</v>
      </c>
      <c r="D147" s="10" t="s">
        <v>852</v>
      </c>
      <c r="E147" s="27" t="s">
        <v>31</v>
      </c>
      <c r="F147" s="27" t="s">
        <v>53</v>
      </c>
      <c r="G147" s="27" t="s">
        <v>257</v>
      </c>
      <c r="H147" s="40">
        <f ca="1">Tabel2[[#This Row],[KEHADIRAN]]/100</f>
        <v>0.91</v>
      </c>
    </row>
    <row r="148" spans="2:8" x14ac:dyDescent="0.25">
      <c r="B148" s="27" t="s">
        <v>26</v>
      </c>
      <c r="C148" s="10" t="s">
        <v>853</v>
      </c>
      <c r="D148" s="10" t="s">
        <v>854</v>
      </c>
      <c r="E148" s="27" t="s">
        <v>31</v>
      </c>
      <c r="F148" s="27" t="s">
        <v>53</v>
      </c>
      <c r="G148" s="27" t="s">
        <v>132</v>
      </c>
      <c r="H148" s="40">
        <f ca="1">Tabel2[[#This Row],[KEHADIRAN]]/100</f>
        <v>0.98</v>
      </c>
    </row>
    <row r="149" spans="2:8" x14ac:dyDescent="0.25">
      <c r="B149" s="27" t="s">
        <v>39</v>
      </c>
      <c r="C149" s="10" t="s">
        <v>855</v>
      </c>
      <c r="D149" s="10" t="s">
        <v>411</v>
      </c>
      <c r="E149" s="27" t="s">
        <v>6</v>
      </c>
      <c r="F149" s="27" t="s">
        <v>48</v>
      </c>
      <c r="G149" s="27" t="s">
        <v>111</v>
      </c>
      <c r="H149" s="40">
        <f ca="1">Tabel2[[#This Row],[KEHADIRAN]]/100</f>
        <v>0</v>
      </c>
    </row>
    <row r="150" spans="2:8" x14ac:dyDescent="0.25">
      <c r="B150" s="27" t="s">
        <v>32</v>
      </c>
      <c r="C150" s="10" t="s">
        <v>856</v>
      </c>
      <c r="D150" s="10" t="s">
        <v>857</v>
      </c>
      <c r="E150" s="27" t="s">
        <v>31</v>
      </c>
      <c r="F150" s="27" t="s">
        <v>32</v>
      </c>
      <c r="G150" s="27" t="s">
        <v>332</v>
      </c>
      <c r="H150" s="40">
        <f ca="1">Tabel2[[#This Row],[KEHADIRAN]]/100</f>
        <v>0.96</v>
      </c>
    </row>
    <row r="151" spans="2:8" x14ac:dyDescent="0.25">
      <c r="B151" s="27" t="s">
        <v>77</v>
      </c>
      <c r="C151" s="10" t="s">
        <v>858</v>
      </c>
      <c r="D151" s="10" t="s">
        <v>859</v>
      </c>
      <c r="E151" s="27" t="s">
        <v>31</v>
      </c>
      <c r="F151" s="27" t="s">
        <v>32</v>
      </c>
      <c r="G151" s="27" t="s">
        <v>111</v>
      </c>
      <c r="H151" s="40">
        <f ca="1">Tabel2[[#This Row],[KEHADIRAN]]/100</f>
        <v>0.87</v>
      </c>
    </row>
    <row r="152" spans="2:8" x14ac:dyDescent="0.25">
      <c r="B152" s="27" t="s">
        <v>53</v>
      </c>
      <c r="C152" s="10" t="s">
        <v>860</v>
      </c>
      <c r="D152" s="10" t="s">
        <v>861</v>
      </c>
      <c r="E152" s="27" t="s">
        <v>31</v>
      </c>
      <c r="F152" s="27" t="s">
        <v>26</v>
      </c>
      <c r="G152" s="27" t="s">
        <v>113</v>
      </c>
      <c r="H152" s="40">
        <f ca="1">Tabel2[[#This Row],[KEHADIRAN]]/100</f>
        <v>0.97</v>
      </c>
    </row>
    <row r="153" spans="2:8" x14ac:dyDescent="0.25">
      <c r="B153" s="27" t="s">
        <v>42</v>
      </c>
      <c r="C153" s="10" t="s">
        <v>862</v>
      </c>
      <c r="D153" s="10" t="s">
        <v>863</v>
      </c>
      <c r="E153" s="27" t="s">
        <v>31</v>
      </c>
      <c r="F153" s="27" t="s">
        <v>32</v>
      </c>
      <c r="G153" s="27" t="s">
        <v>143</v>
      </c>
      <c r="H153" s="40">
        <f ca="1">Tabel2[[#This Row],[KEHADIRAN]]/100</f>
        <v>0.85</v>
      </c>
    </row>
    <row r="154" spans="2:8" x14ac:dyDescent="0.25">
      <c r="B154" s="27" t="s">
        <v>135</v>
      </c>
      <c r="C154" s="10" t="s">
        <v>864</v>
      </c>
      <c r="D154" s="10" t="s">
        <v>865</v>
      </c>
      <c r="E154" s="27" t="s">
        <v>31</v>
      </c>
      <c r="F154" s="27" t="s">
        <v>26</v>
      </c>
      <c r="G154" s="27" t="s">
        <v>248</v>
      </c>
      <c r="H154" s="40">
        <f ca="1">Tabel2[[#This Row],[KEHADIRAN]]/100</f>
        <v>0.81</v>
      </c>
    </row>
    <row r="155" spans="2:8" x14ac:dyDescent="0.25">
      <c r="B155" s="27" t="s">
        <v>70</v>
      </c>
      <c r="C155" s="10" t="s">
        <v>866</v>
      </c>
      <c r="D155" s="10" t="s">
        <v>867</v>
      </c>
      <c r="E155" s="27" t="s">
        <v>31</v>
      </c>
      <c r="F155" s="27" t="s">
        <v>216</v>
      </c>
      <c r="G155" s="27" t="s">
        <v>239</v>
      </c>
      <c r="H155" s="40">
        <f ca="1">Tabel2[[#This Row],[KEHADIRAN]]/100</f>
        <v>0.91</v>
      </c>
    </row>
    <row r="156" spans="2:8" x14ac:dyDescent="0.25">
      <c r="B156" s="27" t="s">
        <v>222</v>
      </c>
      <c r="C156" s="10" t="s">
        <v>868</v>
      </c>
      <c r="D156" s="10" t="s">
        <v>869</v>
      </c>
      <c r="E156" s="27" t="s">
        <v>31</v>
      </c>
      <c r="F156" s="27" t="s">
        <v>26</v>
      </c>
      <c r="G156" s="27" t="s">
        <v>271</v>
      </c>
      <c r="H156" s="40">
        <f ca="1">Tabel2[[#This Row],[KEHADIRAN]]/100</f>
        <v>0.86</v>
      </c>
    </row>
    <row r="157" spans="2:8" x14ac:dyDescent="0.25">
      <c r="B157" s="27" t="s">
        <v>57</v>
      </c>
      <c r="C157" s="10" t="s">
        <v>870</v>
      </c>
      <c r="D157" s="10" t="s">
        <v>871</v>
      </c>
      <c r="E157" s="27" t="s">
        <v>31</v>
      </c>
      <c r="F157" s="27" t="s">
        <v>191</v>
      </c>
      <c r="G157" s="27" t="s">
        <v>97</v>
      </c>
      <c r="H157" s="40">
        <f ca="1">Tabel2[[#This Row],[KEHADIRAN]]/100</f>
        <v>1</v>
      </c>
    </row>
    <row r="158" spans="2:8" x14ac:dyDescent="0.25">
      <c r="B158" s="27" t="s">
        <v>219</v>
      </c>
      <c r="C158" s="10" t="s">
        <v>874</v>
      </c>
      <c r="D158" s="10" t="s">
        <v>875</v>
      </c>
      <c r="E158" s="27" t="s">
        <v>31</v>
      </c>
      <c r="F158" s="27" t="s">
        <v>53</v>
      </c>
      <c r="G158" s="27" t="s">
        <v>404</v>
      </c>
      <c r="H158" s="40">
        <f ca="1">Tabel2[[#This Row],[KEHADIRAN]]/100</f>
        <v>0.8</v>
      </c>
    </row>
    <row r="159" spans="2:8" x14ac:dyDescent="0.25">
      <c r="B159" s="27" t="s">
        <v>88</v>
      </c>
      <c r="C159" s="10" t="s">
        <v>876</v>
      </c>
      <c r="D159" s="10" t="s">
        <v>877</v>
      </c>
      <c r="E159" s="27" t="s">
        <v>31</v>
      </c>
      <c r="F159" s="27" t="s">
        <v>53</v>
      </c>
      <c r="G159" s="27" t="s">
        <v>62</v>
      </c>
      <c r="H159" s="40">
        <f ca="1">Tabel2[[#This Row],[KEHADIRAN]]/100</f>
        <v>0.85</v>
      </c>
    </row>
    <row r="160" spans="2:8" x14ac:dyDescent="0.25">
      <c r="B160" s="27" t="s">
        <v>223</v>
      </c>
      <c r="C160" s="10" t="s">
        <v>881</v>
      </c>
      <c r="D160" s="10" t="s">
        <v>882</v>
      </c>
      <c r="E160" s="27" t="s">
        <v>31</v>
      </c>
      <c r="F160" s="27" t="s">
        <v>26</v>
      </c>
      <c r="G160" s="27" t="s">
        <v>241</v>
      </c>
      <c r="H160" s="40">
        <f ca="1">Tabel2[[#This Row],[KEHADIRAN]]/100</f>
        <v>0.86</v>
      </c>
    </row>
    <row r="161" spans="2:8" x14ac:dyDescent="0.25">
      <c r="B161" s="27" t="s">
        <v>224</v>
      </c>
      <c r="C161" s="10" t="s">
        <v>883</v>
      </c>
      <c r="D161" s="10" t="s">
        <v>884</v>
      </c>
      <c r="E161" s="27" t="s">
        <v>31</v>
      </c>
      <c r="F161" s="27" t="s">
        <v>32</v>
      </c>
      <c r="G161" s="27" t="s">
        <v>139</v>
      </c>
      <c r="H161" s="40">
        <f ca="1">Tabel2[[#This Row],[KEHADIRAN]]/100</f>
        <v>0.91</v>
      </c>
    </row>
    <row r="162" spans="2:8" x14ac:dyDescent="0.25">
      <c r="B162" s="27" t="s">
        <v>225</v>
      </c>
      <c r="C162" s="10" t="s">
        <v>885</v>
      </c>
      <c r="D162" s="10" t="s">
        <v>886</v>
      </c>
      <c r="E162" s="27" t="s">
        <v>31</v>
      </c>
      <c r="F162" s="27" t="s">
        <v>200</v>
      </c>
      <c r="G162" s="27" t="s">
        <v>190</v>
      </c>
      <c r="H162" s="40">
        <f ca="1">Tabel2[[#This Row],[KEHADIRAN]]/100</f>
        <v>0.88</v>
      </c>
    </row>
    <row r="163" spans="2:8" x14ac:dyDescent="0.25">
      <c r="B163" s="27" t="s">
        <v>226</v>
      </c>
      <c r="C163" s="10" t="s">
        <v>887</v>
      </c>
      <c r="D163" s="10" t="s">
        <v>888</v>
      </c>
      <c r="E163" s="27" t="s">
        <v>31</v>
      </c>
      <c r="F163" s="27" t="s">
        <v>51</v>
      </c>
      <c r="G163" s="27" t="s">
        <v>342</v>
      </c>
      <c r="H163" s="40">
        <f ca="1">Tabel2[[#This Row],[KEHADIRAN]]/100</f>
        <v>0.91</v>
      </c>
    </row>
    <row r="164" spans="2:8" x14ac:dyDescent="0.25">
      <c r="B164" s="27" t="s">
        <v>228</v>
      </c>
      <c r="C164" s="10" t="s">
        <v>889</v>
      </c>
      <c r="D164" s="10" t="s">
        <v>890</v>
      </c>
      <c r="E164" s="27" t="s">
        <v>31</v>
      </c>
      <c r="F164" s="27" t="s">
        <v>219</v>
      </c>
      <c r="G164" s="27" t="s">
        <v>418</v>
      </c>
      <c r="H164" s="40">
        <f ca="1">Tabel2[[#This Row],[KEHADIRAN]]/100</f>
        <v>0.89</v>
      </c>
    </row>
    <row r="165" spans="2:8" x14ac:dyDescent="0.25">
      <c r="B165" s="27" t="s">
        <v>268</v>
      </c>
      <c r="C165" s="10" t="s">
        <v>948</v>
      </c>
      <c r="D165" s="10" t="s">
        <v>949</v>
      </c>
      <c r="E165" s="27" t="s">
        <v>31</v>
      </c>
      <c r="F165" s="27" t="s">
        <v>26</v>
      </c>
      <c r="G165" s="27" t="s">
        <v>257</v>
      </c>
      <c r="H165" s="40">
        <f ca="1">Tabel2[[#This Row],[KEHADIRAN]]/100</f>
        <v>0.88</v>
      </c>
    </row>
    <row r="166" spans="2:8" x14ac:dyDescent="0.25">
      <c r="B166" s="27" t="s">
        <v>270</v>
      </c>
      <c r="C166" s="10" t="s">
        <v>950</v>
      </c>
      <c r="D166" s="10" t="s">
        <v>951</v>
      </c>
      <c r="E166" s="27" t="s">
        <v>6</v>
      </c>
      <c r="F166" s="27" t="s">
        <v>40</v>
      </c>
      <c r="G166" s="27" t="s">
        <v>410</v>
      </c>
      <c r="H166" s="40">
        <f ca="1">Tabel2[[#This Row],[KEHADIRAN]]/100</f>
        <v>0</v>
      </c>
    </row>
    <row r="167" spans="2:8" x14ac:dyDescent="0.25">
      <c r="B167" s="27" t="s">
        <v>272</v>
      </c>
      <c r="C167" s="10" t="s">
        <v>952</v>
      </c>
      <c r="D167" s="10" t="s">
        <v>953</v>
      </c>
      <c r="E167" s="27" t="s">
        <v>31</v>
      </c>
      <c r="F167" s="27" t="s">
        <v>32</v>
      </c>
      <c r="G167" s="27" t="s">
        <v>212</v>
      </c>
      <c r="H167" s="40">
        <f ca="1">Tabel2[[#This Row],[KEHADIRAN]]/100</f>
        <v>0.94</v>
      </c>
    </row>
    <row r="168" spans="2:8" x14ac:dyDescent="0.25">
      <c r="B168" s="27" t="s">
        <v>273</v>
      </c>
      <c r="C168" s="10" t="s">
        <v>954</v>
      </c>
      <c r="D168" s="10" t="s">
        <v>955</v>
      </c>
      <c r="E168" s="27" t="s">
        <v>31</v>
      </c>
      <c r="F168" s="27" t="s">
        <v>70</v>
      </c>
      <c r="G168" s="27" t="s">
        <v>130</v>
      </c>
      <c r="H168" s="40">
        <f ca="1">Tabel2[[#This Row],[KEHADIRAN]]/100</f>
        <v>0.84</v>
      </c>
    </row>
    <row r="169" spans="2:8" x14ac:dyDescent="0.25">
      <c r="B169" s="27" t="s">
        <v>275</v>
      </c>
      <c r="C169" s="10" t="s">
        <v>956</v>
      </c>
      <c r="D169" s="10" t="s">
        <v>957</v>
      </c>
      <c r="E169" s="27" t="s">
        <v>31</v>
      </c>
      <c r="F169" s="27" t="s">
        <v>51</v>
      </c>
      <c r="G169" s="27" t="s">
        <v>412</v>
      </c>
      <c r="H169" s="40">
        <f ca="1">Tabel2[[#This Row],[KEHADIRAN]]/100</f>
        <v>0.85</v>
      </c>
    </row>
    <row r="170" spans="2:8" x14ac:dyDescent="0.25">
      <c r="B170" s="27" t="s">
        <v>278</v>
      </c>
      <c r="C170" s="10" t="s">
        <v>958</v>
      </c>
      <c r="D170" s="10" t="s">
        <v>959</v>
      </c>
      <c r="E170" s="27" t="s">
        <v>31</v>
      </c>
      <c r="F170" s="27" t="s">
        <v>51</v>
      </c>
      <c r="G170" s="27" t="s">
        <v>169</v>
      </c>
      <c r="H170" s="40">
        <f ca="1">Tabel2[[#This Row],[KEHADIRAN]]/100</f>
        <v>0.84</v>
      </c>
    </row>
    <row r="171" spans="2:8" x14ac:dyDescent="0.25">
      <c r="B171" s="27" t="s">
        <v>279</v>
      </c>
      <c r="C171" s="10" t="s">
        <v>960</v>
      </c>
      <c r="D171" s="10" t="s">
        <v>961</v>
      </c>
      <c r="E171" s="27" t="s">
        <v>31</v>
      </c>
      <c r="F171" s="27" t="s">
        <v>51</v>
      </c>
      <c r="G171" s="27" t="s">
        <v>146</v>
      </c>
      <c r="H171" s="40">
        <f ca="1">Tabel2[[#This Row],[KEHADIRAN]]/100</f>
        <v>0.86</v>
      </c>
    </row>
    <row r="172" spans="2:8" x14ac:dyDescent="0.25">
      <c r="B172" s="27" t="s">
        <v>281</v>
      </c>
      <c r="C172" s="10" t="s">
        <v>962</v>
      </c>
      <c r="D172" s="10" t="s">
        <v>963</v>
      </c>
      <c r="E172" s="27" t="s">
        <v>31</v>
      </c>
      <c r="F172" s="27" t="s">
        <v>51</v>
      </c>
      <c r="G172" s="27" t="s">
        <v>169</v>
      </c>
      <c r="H172" s="40">
        <f ca="1">Tabel2[[#This Row],[KEHADIRAN]]/100</f>
        <v>0.87</v>
      </c>
    </row>
    <row r="173" spans="2:8" x14ac:dyDescent="0.25">
      <c r="B173" s="27" t="s">
        <v>282</v>
      </c>
      <c r="C173" s="10" t="s">
        <v>964</v>
      </c>
      <c r="D173" s="10" t="s">
        <v>965</v>
      </c>
      <c r="E173" s="27" t="s">
        <v>31</v>
      </c>
      <c r="F173" s="27" t="s">
        <v>51</v>
      </c>
      <c r="G173" s="27" t="s">
        <v>239</v>
      </c>
      <c r="H173" s="40">
        <f ca="1">Tabel2[[#This Row],[KEHADIRAN]]/100</f>
        <v>0.98</v>
      </c>
    </row>
    <row r="174" spans="2:8" x14ac:dyDescent="0.25">
      <c r="B174" s="27" t="s">
        <v>283</v>
      </c>
      <c r="C174" s="10" t="s">
        <v>966</v>
      </c>
      <c r="D174" s="10" t="s">
        <v>967</v>
      </c>
      <c r="E174" s="27" t="s">
        <v>31</v>
      </c>
      <c r="F174" s="27" t="s">
        <v>51</v>
      </c>
      <c r="G174" s="27" t="s">
        <v>229</v>
      </c>
      <c r="H174" s="40">
        <f ca="1">Tabel2[[#This Row],[KEHADIRAN]]/100</f>
        <v>0.81</v>
      </c>
    </row>
    <row r="175" spans="2:8" x14ac:dyDescent="0.25">
      <c r="B175" s="27" t="s">
        <v>284</v>
      </c>
      <c r="C175" s="10" t="s">
        <v>968</v>
      </c>
      <c r="D175" s="10" t="s">
        <v>969</v>
      </c>
      <c r="E175" s="27" t="s">
        <v>31</v>
      </c>
      <c r="F175" s="27" t="s">
        <v>51</v>
      </c>
      <c r="G175" s="27" t="s">
        <v>293</v>
      </c>
      <c r="H175" s="40">
        <f ca="1">Tabel2[[#This Row],[KEHADIRAN]]/100</f>
        <v>0.81</v>
      </c>
    </row>
    <row r="176" spans="2:8" x14ac:dyDescent="0.25">
      <c r="B176" s="27" t="s">
        <v>285</v>
      </c>
      <c r="C176" s="10" t="s">
        <v>970</v>
      </c>
      <c r="D176" s="10" t="s">
        <v>971</v>
      </c>
      <c r="E176" s="27" t="s">
        <v>31</v>
      </c>
      <c r="F176" s="27" t="s">
        <v>51</v>
      </c>
      <c r="G176" s="27" t="s">
        <v>280</v>
      </c>
      <c r="H176" s="40">
        <f ca="1">Tabel2[[#This Row],[KEHADIRAN]]/100</f>
        <v>0.87</v>
      </c>
    </row>
    <row r="177" spans="2:8" x14ac:dyDescent="0.25">
      <c r="B177" s="27" t="s">
        <v>286</v>
      </c>
      <c r="C177" s="10" t="s">
        <v>972</v>
      </c>
      <c r="D177" s="10" t="s">
        <v>973</v>
      </c>
      <c r="E177" s="27" t="s">
        <v>31</v>
      </c>
      <c r="F177" s="27" t="s">
        <v>51</v>
      </c>
      <c r="G177" s="27" t="s">
        <v>298</v>
      </c>
      <c r="H177" s="40">
        <f ca="1">Tabel2[[#This Row],[KEHADIRAN]]/100</f>
        <v>0.99</v>
      </c>
    </row>
    <row r="178" spans="2:8" x14ac:dyDescent="0.25">
      <c r="B178" s="27" t="s">
        <v>287</v>
      </c>
      <c r="C178" s="10" t="s">
        <v>974</v>
      </c>
      <c r="D178" s="10" t="s">
        <v>975</v>
      </c>
      <c r="E178" s="27" t="s">
        <v>31</v>
      </c>
      <c r="F178" s="27" t="s">
        <v>51</v>
      </c>
      <c r="G178" s="27" t="s">
        <v>332</v>
      </c>
      <c r="H178" s="40">
        <f ca="1">Tabel2[[#This Row],[KEHADIRAN]]/100</f>
        <v>0.85</v>
      </c>
    </row>
    <row r="179" spans="2:8" x14ac:dyDescent="0.25">
      <c r="B179" s="27" t="s">
        <v>289</v>
      </c>
      <c r="C179" s="10" t="s">
        <v>976</v>
      </c>
      <c r="D179" s="10" t="s">
        <v>977</v>
      </c>
      <c r="E179" s="27" t="s">
        <v>31</v>
      </c>
      <c r="F179" s="27" t="s">
        <v>51</v>
      </c>
      <c r="G179" s="27" t="s">
        <v>143</v>
      </c>
      <c r="H179" s="40">
        <f ca="1">Tabel2[[#This Row],[KEHADIRAN]]/100</f>
        <v>0.84</v>
      </c>
    </row>
    <row r="180" spans="2:8" x14ac:dyDescent="0.25">
      <c r="B180" s="27" t="s">
        <v>290</v>
      </c>
      <c r="C180" s="10" t="s">
        <v>978</v>
      </c>
      <c r="D180" s="10" t="s">
        <v>979</v>
      </c>
      <c r="E180" s="27" t="s">
        <v>31</v>
      </c>
      <c r="F180" s="27" t="s">
        <v>51</v>
      </c>
      <c r="G180" s="27" t="s">
        <v>257</v>
      </c>
      <c r="H180" s="40">
        <f ca="1">Tabel2[[#This Row],[KEHADIRAN]]/100</f>
        <v>0.92</v>
      </c>
    </row>
    <row r="181" spans="2:8" x14ac:dyDescent="0.25">
      <c r="B181" s="27" t="s">
        <v>291</v>
      </c>
      <c r="C181" s="10" t="s">
        <v>980</v>
      </c>
      <c r="D181" s="10" t="s">
        <v>981</v>
      </c>
      <c r="E181" s="27" t="s">
        <v>31</v>
      </c>
      <c r="F181" s="27" t="s">
        <v>51</v>
      </c>
      <c r="G181" s="27" t="s">
        <v>158</v>
      </c>
      <c r="H181" s="40">
        <f ca="1">Tabel2[[#This Row],[KEHADIRAN]]/100</f>
        <v>0.98</v>
      </c>
    </row>
    <row r="182" spans="2:8" x14ac:dyDescent="0.25">
      <c r="B182" s="27" t="s">
        <v>292</v>
      </c>
      <c r="C182" s="10" t="s">
        <v>982</v>
      </c>
      <c r="D182" s="10" t="s">
        <v>983</v>
      </c>
      <c r="E182" s="27" t="s">
        <v>31</v>
      </c>
      <c r="F182" s="27" t="s">
        <v>51</v>
      </c>
      <c r="G182" s="27" t="s">
        <v>74</v>
      </c>
      <c r="H182" s="40">
        <f ca="1">Tabel2[[#This Row],[KEHADIRAN]]/100</f>
        <v>1</v>
      </c>
    </row>
    <row r="183" spans="2:8" x14ac:dyDescent="0.25">
      <c r="B183" s="27" t="s">
        <v>294</v>
      </c>
      <c r="C183" s="10" t="s">
        <v>984</v>
      </c>
      <c r="D183" s="10" t="s">
        <v>985</v>
      </c>
      <c r="E183" s="27" t="s">
        <v>31</v>
      </c>
      <c r="F183" s="27" t="s">
        <v>164</v>
      </c>
      <c r="G183" s="27" t="s">
        <v>36</v>
      </c>
      <c r="H183" s="40">
        <f ca="1">Tabel2[[#This Row],[KEHADIRAN]]/100</f>
        <v>0.81</v>
      </c>
    </row>
    <row r="184" spans="2:8" x14ac:dyDescent="0.25">
      <c r="B184" s="27" t="s">
        <v>295</v>
      </c>
      <c r="C184" s="10" t="s">
        <v>986</v>
      </c>
      <c r="D184" s="10" t="s">
        <v>406</v>
      </c>
      <c r="E184" s="27" t="s">
        <v>31</v>
      </c>
      <c r="F184" s="27" t="s">
        <v>51</v>
      </c>
      <c r="G184" s="27" t="s">
        <v>332</v>
      </c>
      <c r="H184" s="40">
        <f ca="1">Tabel2[[#This Row],[KEHADIRAN]]/100</f>
        <v>0.83</v>
      </c>
    </row>
    <row r="185" spans="2:8" x14ac:dyDescent="0.25">
      <c r="B185" s="27" t="s">
        <v>296</v>
      </c>
      <c r="C185" s="10" t="s">
        <v>987</v>
      </c>
      <c r="D185" s="10" t="s">
        <v>988</v>
      </c>
      <c r="E185" s="27" t="s">
        <v>31</v>
      </c>
      <c r="F185" s="27" t="s">
        <v>51</v>
      </c>
      <c r="G185" s="27" t="s">
        <v>172</v>
      </c>
      <c r="H185" s="40">
        <f ca="1">Tabel2[[#This Row],[KEHADIRAN]]/100</f>
        <v>0.93</v>
      </c>
    </row>
    <row r="186" spans="2:8" x14ac:dyDescent="0.25">
      <c r="B186" s="27" t="s">
        <v>297</v>
      </c>
      <c r="C186" s="10" t="s">
        <v>989</v>
      </c>
      <c r="D186" s="10" t="s">
        <v>990</v>
      </c>
      <c r="E186" s="27" t="s">
        <v>31</v>
      </c>
      <c r="F186" s="27" t="s">
        <v>51</v>
      </c>
      <c r="G186" s="27" t="s">
        <v>115</v>
      </c>
      <c r="H186" s="40">
        <f ca="1">Tabel2[[#This Row],[KEHADIRAN]]/100</f>
        <v>0.98</v>
      </c>
    </row>
    <row r="187" spans="2:8" x14ac:dyDescent="0.25">
      <c r="B187" s="27" t="s">
        <v>299</v>
      </c>
      <c r="C187" s="10" t="s">
        <v>991</v>
      </c>
      <c r="D187" s="10" t="s">
        <v>992</v>
      </c>
      <c r="E187" s="27" t="s">
        <v>31</v>
      </c>
      <c r="F187" s="27" t="s">
        <v>51</v>
      </c>
      <c r="G187" s="27" t="s">
        <v>267</v>
      </c>
      <c r="H187" s="40">
        <f ca="1">Tabel2[[#This Row],[KEHADIRAN]]/100</f>
        <v>0.81</v>
      </c>
    </row>
    <row r="188" spans="2:8" x14ac:dyDescent="0.25">
      <c r="B188" s="27" t="s">
        <v>300</v>
      </c>
      <c r="C188" s="10" t="s">
        <v>993</v>
      </c>
      <c r="D188" s="10" t="s">
        <v>994</v>
      </c>
      <c r="E188" s="27" t="s">
        <v>31</v>
      </c>
      <c r="F188" s="27" t="s">
        <v>51</v>
      </c>
      <c r="G188" s="27" t="s">
        <v>139</v>
      </c>
      <c r="H188" s="40">
        <f ca="1">Tabel2[[#This Row],[KEHADIRAN]]/100</f>
        <v>0.91</v>
      </c>
    </row>
    <row r="189" spans="2:8" x14ac:dyDescent="0.25">
      <c r="B189" s="27" t="s">
        <v>301</v>
      </c>
      <c r="C189" s="10" t="s">
        <v>995</v>
      </c>
      <c r="D189" s="10" t="s">
        <v>996</v>
      </c>
      <c r="E189" s="27" t="s">
        <v>31</v>
      </c>
      <c r="F189" s="27" t="s">
        <v>51</v>
      </c>
      <c r="G189" s="27" t="s">
        <v>293</v>
      </c>
      <c r="H189" s="40">
        <f ca="1">Tabel2[[#This Row],[KEHADIRAN]]/100</f>
        <v>0.96</v>
      </c>
    </row>
    <row r="190" spans="2:8" x14ac:dyDescent="0.25">
      <c r="B190" s="27" t="s">
        <v>302</v>
      </c>
      <c r="C190" s="10" t="s">
        <v>997</v>
      </c>
      <c r="D190" s="10" t="s">
        <v>998</v>
      </c>
      <c r="E190" s="27" t="s">
        <v>31</v>
      </c>
      <c r="F190" s="27" t="s">
        <v>51</v>
      </c>
      <c r="G190" s="27" t="s">
        <v>127</v>
      </c>
      <c r="H190" s="40">
        <f ca="1">Tabel2[[#This Row],[KEHADIRAN]]/100</f>
        <v>0.88</v>
      </c>
    </row>
    <row r="191" spans="2:8" x14ac:dyDescent="0.25">
      <c r="B191" s="27" t="s">
        <v>304</v>
      </c>
      <c r="C191" s="10" t="s">
        <v>999</v>
      </c>
      <c r="D191" s="10" t="s">
        <v>1000</v>
      </c>
      <c r="E191" s="27" t="s">
        <v>31</v>
      </c>
      <c r="F191" s="27" t="s">
        <v>51</v>
      </c>
      <c r="G191" s="27" t="s">
        <v>412</v>
      </c>
      <c r="H191" s="40">
        <f ca="1">Tabel2[[#This Row],[KEHADIRAN]]/100</f>
        <v>0.86</v>
      </c>
    </row>
    <row r="192" spans="2:8" x14ac:dyDescent="0.25">
      <c r="B192" s="27" t="s">
        <v>305</v>
      </c>
      <c r="C192" s="10" t="s">
        <v>1001</v>
      </c>
      <c r="D192" s="10" t="s">
        <v>1002</v>
      </c>
      <c r="E192" s="27" t="s">
        <v>31</v>
      </c>
      <c r="F192" s="27" t="s">
        <v>51</v>
      </c>
      <c r="G192" s="27" t="s">
        <v>332</v>
      </c>
      <c r="H192" s="40">
        <f ca="1">Tabel2[[#This Row],[KEHADIRAN]]/100</f>
        <v>0.94</v>
      </c>
    </row>
    <row r="193" spans="2:8" x14ac:dyDescent="0.25">
      <c r="B193" s="27" t="s">
        <v>306</v>
      </c>
      <c r="C193" s="10" t="s">
        <v>1003</v>
      </c>
      <c r="D193" s="10" t="s">
        <v>1004</v>
      </c>
      <c r="E193" s="27" t="s">
        <v>31</v>
      </c>
      <c r="F193" s="27" t="s">
        <v>51</v>
      </c>
      <c r="G193" s="27" t="s">
        <v>402</v>
      </c>
      <c r="H193" s="40">
        <f ca="1">Tabel2[[#This Row],[KEHADIRAN]]/100</f>
        <v>0.92</v>
      </c>
    </row>
    <row r="194" spans="2:8" x14ac:dyDescent="0.25">
      <c r="B194" s="27" t="s">
        <v>307</v>
      </c>
      <c r="C194" s="10" t="s">
        <v>1005</v>
      </c>
      <c r="D194" s="10" t="s">
        <v>1006</v>
      </c>
      <c r="E194" s="27" t="s">
        <v>31</v>
      </c>
      <c r="F194" s="27" t="s">
        <v>51</v>
      </c>
      <c r="G194" s="27" t="s">
        <v>414</v>
      </c>
      <c r="H194" s="40">
        <f ca="1">Tabel2[[#This Row],[KEHADIRAN]]/100</f>
        <v>0.97</v>
      </c>
    </row>
    <row r="195" spans="2:8" x14ac:dyDescent="0.25">
      <c r="B195" s="27" t="s">
        <v>308</v>
      </c>
      <c r="C195" s="10" t="s">
        <v>1007</v>
      </c>
      <c r="D195" s="10" t="s">
        <v>1008</v>
      </c>
      <c r="E195" s="27" t="s">
        <v>31</v>
      </c>
      <c r="F195" s="27" t="s">
        <v>51</v>
      </c>
      <c r="G195" s="27" t="s">
        <v>409</v>
      </c>
      <c r="H195" s="40">
        <f ca="1">Tabel2[[#This Row],[KEHADIRAN]]/100</f>
        <v>0.99</v>
      </c>
    </row>
    <row r="196" spans="2:8" x14ac:dyDescent="0.25">
      <c r="B196" s="27" t="s">
        <v>309</v>
      </c>
      <c r="C196" s="10" t="s">
        <v>1009</v>
      </c>
      <c r="D196" s="10" t="s">
        <v>1010</v>
      </c>
      <c r="E196" s="27" t="s">
        <v>31</v>
      </c>
      <c r="F196" s="27" t="s">
        <v>109</v>
      </c>
      <c r="G196" s="27" t="s">
        <v>355</v>
      </c>
      <c r="H196" s="40">
        <f ca="1">Tabel2[[#This Row],[KEHADIRAN]]/100</f>
        <v>0.83</v>
      </c>
    </row>
    <row r="197" spans="2:8" x14ac:dyDescent="0.25">
      <c r="B197" s="27" t="s">
        <v>310</v>
      </c>
      <c r="C197" s="10" t="s">
        <v>1011</v>
      </c>
      <c r="D197" s="10" t="s">
        <v>1012</v>
      </c>
      <c r="E197" s="27" t="s">
        <v>31</v>
      </c>
      <c r="F197" s="27" t="s">
        <v>51</v>
      </c>
      <c r="G197" s="27" t="s">
        <v>280</v>
      </c>
      <c r="H197" s="40">
        <f ca="1">Tabel2[[#This Row],[KEHADIRAN]]/100</f>
        <v>0.98</v>
      </c>
    </row>
    <row r="198" spans="2:8" x14ac:dyDescent="0.25">
      <c r="B198" s="27" t="s">
        <v>311</v>
      </c>
      <c r="C198" s="10" t="s">
        <v>1013</v>
      </c>
      <c r="D198" s="10" t="s">
        <v>1014</v>
      </c>
      <c r="E198" s="27" t="s">
        <v>31</v>
      </c>
      <c r="F198" s="27" t="s">
        <v>51</v>
      </c>
      <c r="G198" s="27" t="s">
        <v>323</v>
      </c>
      <c r="H198" s="40">
        <f ca="1">Tabel2[[#This Row],[KEHADIRAN]]/100</f>
        <v>0.93</v>
      </c>
    </row>
    <row r="199" spans="2:8" x14ac:dyDescent="0.25">
      <c r="B199" s="27" t="s">
        <v>312</v>
      </c>
      <c r="C199" s="10" t="s">
        <v>1015</v>
      </c>
      <c r="D199" s="10" t="s">
        <v>1016</v>
      </c>
      <c r="E199" s="27" t="s">
        <v>31</v>
      </c>
      <c r="F199" s="27" t="s">
        <v>51</v>
      </c>
      <c r="G199" s="27" t="s">
        <v>143</v>
      </c>
      <c r="H199" s="40">
        <f ca="1">Tabel2[[#This Row],[KEHADIRAN]]/100</f>
        <v>0.86</v>
      </c>
    </row>
    <row r="200" spans="2:8" x14ac:dyDescent="0.25">
      <c r="B200" s="27" t="s">
        <v>313</v>
      </c>
      <c r="C200" s="10" t="s">
        <v>1017</v>
      </c>
      <c r="D200" s="10" t="s">
        <v>1018</v>
      </c>
      <c r="E200" s="27" t="s">
        <v>31</v>
      </c>
      <c r="F200" s="27" t="s">
        <v>51</v>
      </c>
      <c r="G200" s="27" t="s">
        <v>117</v>
      </c>
      <c r="H200" s="40">
        <f ca="1">Tabel2[[#This Row],[KEHADIRAN]]/100</f>
        <v>0.98</v>
      </c>
    </row>
    <row r="201" spans="2:8" x14ac:dyDescent="0.25">
      <c r="B201" s="27" t="s">
        <v>314</v>
      </c>
      <c r="C201" s="10" t="s">
        <v>1019</v>
      </c>
      <c r="D201" s="10" t="s">
        <v>1020</v>
      </c>
      <c r="E201" s="27" t="s">
        <v>31</v>
      </c>
      <c r="F201" s="27" t="s">
        <v>51</v>
      </c>
      <c r="G201" s="27" t="s">
        <v>355</v>
      </c>
      <c r="H201" s="40">
        <f ca="1">Tabel2[[#This Row],[KEHADIRAN]]/100</f>
        <v>0.91</v>
      </c>
    </row>
    <row r="202" spans="2:8" x14ac:dyDescent="0.25">
      <c r="B202" s="27" t="s">
        <v>315</v>
      </c>
      <c r="C202" s="10" t="s">
        <v>1021</v>
      </c>
      <c r="D202" s="10" t="s">
        <v>1022</v>
      </c>
      <c r="E202" s="27" t="s">
        <v>31</v>
      </c>
      <c r="F202" s="27" t="s">
        <v>51</v>
      </c>
      <c r="G202" s="27" t="s">
        <v>418</v>
      </c>
      <c r="H202" s="40">
        <f ca="1">Tabel2[[#This Row],[KEHADIRAN]]/100</f>
        <v>0.99</v>
      </c>
    </row>
    <row r="203" spans="2:8" x14ac:dyDescent="0.25">
      <c r="B203" s="27" t="s">
        <v>316</v>
      </c>
      <c r="C203" s="10" t="s">
        <v>1023</v>
      </c>
      <c r="D203" s="10" t="s">
        <v>1024</v>
      </c>
      <c r="E203" s="27" t="s">
        <v>31</v>
      </c>
      <c r="F203" s="27" t="s">
        <v>51</v>
      </c>
      <c r="G203" s="27" t="s">
        <v>241</v>
      </c>
      <c r="H203" s="40">
        <f ca="1">Tabel2[[#This Row],[KEHADIRAN]]/100</f>
        <v>1</v>
      </c>
    </row>
    <row r="204" spans="2:8" x14ac:dyDescent="0.25">
      <c r="B204" s="27" t="s">
        <v>317</v>
      </c>
      <c r="C204" s="10" t="s">
        <v>1025</v>
      </c>
      <c r="D204" s="10" t="s">
        <v>1026</v>
      </c>
      <c r="E204" s="27" t="s">
        <v>31</v>
      </c>
      <c r="F204" s="27" t="s">
        <v>51</v>
      </c>
      <c r="G204" s="27" t="s">
        <v>146</v>
      </c>
      <c r="H204" s="40">
        <f ca="1">Tabel2[[#This Row],[KEHADIRAN]]/100</f>
        <v>0.94</v>
      </c>
    </row>
    <row r="205" spans="2:8" x14ac:dyDescent="0.25">
      <c r="B205" s="27" t="s">
        <v>318</v>
      </c>
      <c r="C205" s="10" t="s">
        <v>1027</v>
      </c>
      <c r="D205" s="10" t="s">
        <v>1028</v>
      </c>
      <c r="E205" s="27" t="s">
        <v>31</v>
      </c>
      <c r="F205" s="27" t="s">
        <v>51</v>
      </c>
      <c r="G205" s="27" t="s">
        <v>234</v>
      </c>
      <c r="H205" s="40">
        <f ca="1">Tabel2[[#This Row],[KEHADIRAN]]/100</f>
        <v>0.86</v>
      </c>
    </row>
    <row r="206" spans="2:8" x14ac:dyDescent="0.25">
      <c r="B206" s="27" t="s">
        <v>320</v>
      </c>
      <c r="C206" s="10" t="s">
        <v>1029</v>
      </c>
      <c r="D206" s="10" t="s">
        <v>1030</v>
      </c>
      <c r="E206" s="27" t="s">
        <v>31</v>
      </c>
      <c r="F206" s="27" t="s">
        <v>51</v>
      </c>
      <c r="G206" s="27" t="s">
        <v>143</v>
      </c>
      <c r="H206" s="40">
        <f ca="1">Tabel2[[#This Row],[KEHADIRAN]]/100</f>
        <v>0.93</v>
      </c>
    </row>
    <row r="207" spans="2:8" x14ac:dyDescent="0.25">
      <c r="B207" s="27" t="s">
        <v>321</v>
      </c>
      <c r="C207" s="10" t="s">
        <v>1031</v>
      </c>
      <c r="D207" s="10" t="s">
        <v>825</v>
      </c>
      <c r="E207" s="27" t="s">
        <v>319</v>
      </c>
      <c r="F207" s="27" t="s">
        <v>135</v>
      </c>
      <c r="G207" s="27" t="s">
        <v>121</v>
      </c>
      <c r="H207" s="40">
        <f ca="1">Tabel2[[#This Row],[KEHADIRAN]]/100</f>
        <v>0</v>
      </c>
    </row>
    <row r="208" spans="2:8" x14ac:dyDescent="0.25">
      <c r="B208" s="27" t="s">
        <v>322</v>
      </c>
      <c r="C208" s="10" t="s">
        <v>1032</v>
      </c>
      <c r="D208" s="10" t="s">
        <v>1033</v>
      </c>
      <c r="E208" s="27" t="s">
        <v>31</v>
      </c>
      <c r="F208" s="27" t="s">
        <v>51</v>
      </c>
      <c r="G208" s="27" t="s">
        <v>280</v>
      </c>
      <c r="H208" s="40">
        <f ca="1">Tabel2[[#This Row],[KEHADIRAN]]/100</f>
        <v>0.8</v>
      </c>
    </row>
    <row r="209" spans="2:8" x14ac:dyDescent="0.25">
      <c r="B209" s="27" t="s">
        <v>324</v>
      </c>
      <c r="C209" s="10" t="s">
        <v>1034</v>
      </c>
      <c r="D209" s="10" t="s">
        <v>1035</v>
      </c>
      <c r="E209" s="27" t="s">
        <v>31</v>
      </c>
      <c r="F209" s="27" t="s">
        <v>51</v>
      </c>
      <c r="G209" s="27" t="s">
        <v>177</v>
      </c>
      <c r="H209" s="40">
        <f ca="1">Tabel2[[#This Row],[KEHADIRAN]]/100</f>
        <v>0.96</v>
      </c>
    </row>
    <row r="210" spans="2:8" x14ac:dyDescent="0.25">
      <c r="B210" s="27" t="s">
        <v>325</v>
      </c>
      <c r="C210" s="10" t="s">
        <v>1036</v>
      </c>
      <c r="D210" s="10" t="s">
        <v>1037</v>
      </c>
      <c r="E210" s="27" t="s">
        <v>31</v>
      </c>
      <c r="F210" s="27" t="s">
        <v>51</v>
      </c>
      <c r="G210" s="27" t="s">
        <v>80</v>
      </c>
      <c r="H210" s="40">
        <f ca="1">Tabel2[[#This Row],[KEHADIRAN]]/100</f>
        <v>0.88</v>
      </c>
    </row>
    <row r="211" spans="2:8" x14ac:dyDescent="0.25">
      <c r="B211" s="27" t="s">
        <v>326</v>
      </c>
      <c r="C211" s="10" t="s">
        <v>1038</v>
      </c>
      <c r="D211" s="10" t="s">
        <v>1039</v>
      </c>
      <c r="E211" s="27" t="s">
        <v>31</v>
      </c>
      <c r="F211" s="27" t="s">
        <v>51</v>
      </c>
      <c r="G211" s="27" t="s">
        <v>146</v>
      </c>
      <c r="H211" s="40">
        <f ca="1">Tabel2[[#This Row],[KEHADIRAN]]/100</f>
        <v>0.85</v>
      </c>
    </row>
    <row r="212" spans="2:8" x14ac:dyDescent="0.25">
      <c r="B212" s="27" t="s">
        <v>327</v>
      </c>
      <c r="C212" s="10" t="s">
        <v>1040</v>
      </c>
      <c r="D212" s="10" t="s">
        <v>1041</v>
      </c>
      <c r="E212" s="27" t="s">
        <v>31</v>
      </c>
      <c r="F212" s="27" t="s">
        <v>51</v>
      </c>
      <c r="G212" s="27" t="s">
        <v>234</v>
      </c>
      <c r="H212" s="40">
        <f ca="1">Tabel2[[#This Row],[KEHADIRAN]]/100</f>
        <v>0.94</v>
      </c>
    </row>
    <row r="213" spans="2:8" x14ac:dyDescent="0.25">
      <c r="B213" s="27" t="s">
        <v>329</v>
      </c>
      <c r="C213" s="10" t="s">
        <v>1042</v>
      </c>
      <c r="D213" s="10" t="s">
        <v>1043</v>
      </c>
      <c r="E213" s="27" t="s">
        <v>31</v>
      </c>
      <c r="F213" s="27" t="s">
        <v>51</v>
      </c>
      <c r="G213" s="27" t="s">
        <v>248</v>
      </c>
      <c r="H213" s="40">
        <f ca="1">Tabel2[[#This Row],[KEHADIRAN]]/100</f>
        <v>0.87</v>
      </c>
    </row>
    <row r="214" spans="2:8" x14ac:dyDescent="0.25">
      <c r="B214" s="27" t="s">
        <v>330</v>
      </c>
      <c r="C214" s="10" t="s">
        <v>1044</v>
      </c>
      <c r="D214" s="10" t="s">
        <v>1045</v>
      </c>
      <c r="E214" s="27" t="s">
        <v>31</v>
      </c>
      <c r="F214" s="27" t="s">
        <v>51</v>
      </c>
      <c r="G214" s="27" t="s">
        <v>121</v>
      </c>
      <c r="H214" s="40">
        <f ca="1">Tabel2[[#This Row],[KEHADIRAN]]/100</f>
        <v>0.99</v>
      </c>
    </row>
    <row r="215" spans="2:8" x14ac:dyDescent="0.25">
      <c r="B215" s="27" t="s">
        <v>331</v>
      </c>
      <c r="C215" s="10" t="s">
        <v>1046</v>
      </c>
      <c r="D215" s="10" t="s">
        <v>1047</v>
      </c>
      <c r="E215" s="27" t="s">
        <v>31</v>
      </c>
      <c r="F215" s="27" t="s">
        <v>51</v>
      </c>
      <c r="G215" s="27" t="s">
        <v>169</v>
      </c>
      <c r="H215" s="40">
        <f ca="1">Tabel2[[#This Row],[KEHADIRAN]]/100</f>
        <v>0.93</v>
      </c>
    </row>
    <row r="216" spans="2:8" x14ac:dyDescent="0.25">
      <c r="B216" s="27" t="s">
        <v>333</v>
      </c>
      <c r="C216" s="10" t="s">
        <v>1048</v>
      </c>
      <c r="D216" s="10" t="s">
        <v>274</v>
      </c>
      <c r="E216" s="27" t="s">
        <v>31</v>
      </c>
      <c r="F216" s="27" t="s">
        <v>51</v>
      </c>
      <c r="G216" s="27" t="s">
        <v>74</v>
      </c>
      <c r="H216" s="40">
        <f ca="1">Tabel2[[#This Row],[KEHADIRAN]]/100</f>
        <v>0.82</v>
      </c>
    </row>
    <row r="217" spans="2:8" x14ac:dyDescent="0.25">
      <c r="B217" s="27" t="s">
        <v>334</v>
      </c>
      <c r="C217" s="10" t="s">
        <v>1049</v>
      </c>
      <c r="D217" s="10" t="s">
        <v>1050</v>
      </c>
      <c r="E217" s="27" t="s">
        <v>31</v>
      </c>
      <c r="F217" s="27" t="s">
        <v>51</v>
      </c>
      <c r="G217" s="27" t="s">
        <v>185</v>
      </c>
      <c r="H217" s="40">
        <f ca="1">Tabel2[[#This Row],[KEHADIRAN]]/100</f>
        <v>1</v>
      </c>
    </row>
    <row r="218" spans="2:8" x14ac:dyDescent="0.25">
      <c r="B218" s="27" t="s">
        <v>335</v>
      </c>
      <c r="C218" s="10" t="s">
        <v>1051</v>
      </c>
      <c r="D218" s="10" t="s">
        <v>1052</v>
      </c>
      <c r="E218" s="27" t="s">
        <v>31</v>
      </c>
      <c r="F218" s="27" t="s">
        <v>51</v>
      </c>
      <c r="G218" s="27" t="s">
        <v>257</v>
      </c>
      <c r="H218" s="40">
        <f ca="1">Tabel2[[#This Row],[KEHADIRAN]]/100</f>
        <v>0.98</v>
      </c>
    </row>
    <row r="219" spans="2:8" x14ac:dyDescent="0.25">
      <c r="B219" s="27" t="s">
        <v>336</v>
      </c>
      <c r="C219" s="10" t="s">
        <v>1053</v>
      </c>
      <c r="D219" s="10" t="s">
        <v>1054</v>
      </c>
      <c r="E219" s="27" t="s">
        <v>31</v>
      </c>
      <c r="F219" s="27" t="s">
        <v>51</v>
      </c>
      <c r="G219" s="27" t="s">
        <v>215</v>
      </c>
      <c r="H219" s="40">
        <f ca="1">Tabel2[[#This Row],[KEHADIRAN]]/100</f>
        <v>0.81</v>
      </c>
    </row>
    <row r="220" spans="2:8" x14ac:dyDescent="0.25">
      <c r="B220" s="27" t="s">
        <v>337</v>
      </c>
      <c r="C220" s="10" t="s">
        <v>1055</v>
      </c>
      <c r="D220" s="10" t="s">
        <v>1056</v>
      </c>
      <c r="E220" s="27" t="s">
        <v>31</v>
      </c>
      <c r="F220" s="27" t="s">
        <v>51</v>
      </c>
      <c r="G220" s="27" t="s">
        <v>190</v>
      </c>
      <c r="H220" s="40">
        <f ca="1">Tabel2[[#This Row],[KEHADIRAN]]/100</f>
        <v>0.82</v>
      </c>
    </row>
    <row r="221" spans="2:8" x14ac:dyDescent="0.25">
      <c r="B221" s="27" t="s">
        <v>338</v>
      </c>
      <c r="C221" s="10" t="s">
        <v>1057</v>
      </c>
      <c r="D221" s="10" t="s">
        <v>1058</v>
      </c>
      <c r="E221" s="27" t="s">
        <v>319</v>
      </c>
      <c r="F221" s="27" t="s">
        <v>72</v>
      </c>
      <c r="G221" s="27" t="s">
        <v>1059</v>
      </c>
      <c r="H221" s="40">
        <f ca="1">Tabel2[[#This Row],[KEHADIRAN]]/100</f>
        <v>0</v>
      </c>
    </row>
    <row r="222" spans="2:8" x14ac:dyDescent="0.25">
      <c r="B222" s="27" t="s">
        <v>340</v>
      </c>
      <c r="C222" s="10" t="s">
        <v>1060</v>
      </c>
      <c r="D222" s="10" t="s">
        <v>1061</v>
      </c>
      <c r="E222" s="27" t="s">
        <v>31</v>
      </c>
      <c r="F222" s="27" t="s">
        <v>51</v>
      </c>
      <c r="G222" s="27" t="s">
        <v>212</v>
      </c>
      <c r="H222" s="40">
        <f ca="1">Tabel2[[#This Row],[KEHADIRAN]]/100</f>
        <v>0.91</v>
      </c>
    </row>
    <row r="223" spans="2:8" x14ac:dyDescent="0.25">
      <c r="B223" s="27" t="s">
        <v>341</v>
      </c>
      <c r="C223" s="10" t="s">
        <v>1062</v>
      </c>
      <c r="D223" s="10" t="s">
        <v>1063</v>
      </c>
      <c r="E223" s="27" t="s">
        <v>31</v>
      </c>
      <c r="F223" s="27" t="s">
        <v>51</v>
      </c>
      <c r="G223" s="27" t="s">
        <v>141</v>
      </c>
      <c r="H223" s="40">
        <f ca="1">Tabel2[[#This Row],[KEHADIRAN]]/100</f>
        <v>0.99</v>
      </c>
    </row>
    <row r="224" spans="2:8" x14ac:dyDescent="0.25">
      <c r="B224" s="27" t="s">
        <v>343</v>
      </c>
      <c r="C224" s="10" t="s">
        <v>1064</v>
      </c>
      <c r="D224" s="10" t="s">
        <v>419</v>
      </c>
      <c r="E224" s="27" t="s">
        <v>31</v>
      </c>
      <c r="F224" s="27" t="s">
        <v>51</v>
      </c>
      <c r="G224" s="27" t="s">
        <v>111</v>
      </c>
      <c r="H224" s="40">
        <f ca="1">Tabel2[[#This Row],[KEHADIRAN]]/100</f>
        <v>0.88</v>
      </c>
    </row>
    <row r="225" spans="2:8" x14ac:dyDescent="0.25">
      <c r="B225" s="27" t="s">
        <v>344</v>
      </c>
      <c r="C225" s="10" t="s">
        <v>1065</v>
      </c>
      <c r="D225" s="10" t="s">
        <v>1066</v>
      </c>
      <c r="E225" s="27" t="s">
        <v>31</v>
      </c>
      <c r="F225" s="27" t="s">
        <v>51</v>
      </c>
      <c r="G225" s="27" t="s">
        <v>248</v>
      </c>
      <c r="H225" s="40">
        <f ca="1">Tabel2[[#This Row],[KEHADIRAN]]/100</f>
        <v>0.84</v>
      </c>
    </row>
    <row r="226" spans="2:8" x14ac:dyDescent="0.25">
      <c r="B226" s="27" t="s">
        <v>345</v>
      </c>
      <c r="C226" s="10" t="s">
        <v>1067</v>
      </c>
      <c r="D226" s="10" t="s">
        <v>1068</v>
      </c>
      <c r="E226" s="27" t="s">
        <v>31</v>
      </c>
      <c r="F226" s="27" t="s">
        <v>51</v>
      </c>
      <c r="G226" s="27" t="s">
        <v>188</v>
      </c>
      <c r="H226" s="40">
        <f ca="1">Tabel2[[#This Row],[KEHADIRAN]]/100</f>
        <v>0.97</v>
      </c>
    </row>
    <row r="227" spans="2:8" x14ac:dyDescent="0.25">
      <c r="B227" s="27" t="s">
        <v>346</v>
      </c>
      <c r="C227" s="10" t="s">
        <v>1069</v>
      </c>
      <c r="D227" s="10" t="s">
        <v>1070</v>
      </c>
      <c r="E227" s="27" t="s">
        <v>31</v>
      </c>
      <c r="F227" s="27" t="s">
        <v>51</v>
      </c>
      <c r="G227" s="27" t="s">
        <v>188</v>
      </c>
      <c r="H227" s="40">
        <f ca="1">Tabel2[[#This Row],[KEHADIRAN]]/100</f>
        <v>0.93</v>
      </c>
    </row>
    <row r="228" spans="2:8" x14ac:dyDescent="0.25">
      <c r="B228" s="27" t="s">
        <v>347</v>
      </c>
      <c r="C228" s="10" t="s">
        <v>1071</v>
      </c>
      <c r="D228" s="10" t="s">
        <v>1072</v>
      </c>
      <c r="E228" s="27" t="s">
        <v>31</v>
      </c>
      <c r="F228" s="27" t="s">
        <v>51</v>
      </c>
      <c r="G228" s="27" t="s">
        <v>132</v>
      </c>
      <c r="H228" s="40">
        <f ca="1">Tabel2[[#This Row],[KEHADIRAN]]/100</f>
        <v>0.82</v>
      </c>
    </row>
    <row r="229" spans="2:8" x14ac:dyDescent="0.25">
      <c r="B229" s="27" t="s">
        <v>348</v>
      </c>
      <c r="C229" s="10" t="s">
        <v>1073</v>
      </c>
      <c r="D229" s="10" t="s">
        <v>1074</v>
      </c>
      <c r="E229" s="27" t="s">
        <v>31</v>
      </c>
      <c r="F229" s="27" t="s">
        <v>51</v>
      </c>
      <c r="G229" s="27" t="s">
        <v>113</v>
      </c>
      <c r="H229" s="40">
        <f ca="1">Tabel2[[#This Row],[KEHADIRAN]]/100</f>
        <v>0.9</v>
      </c>
    </row>
    <row r="230" spans="2:8" x14ac:dyDescent="0.25">
      <c r="B230" s="27" t="s">
        <v>349</v>
      </c>
      <c r="C230" s="10" t="s">
        <v>1075</v>
      </c>
      <c r="D230" s="10" t="s">
        <v>1076</v>
      </c>
      <c r="E230" s="27" t="s">
        <v>31</v>
      </c>
      <c r="F230" s="27" t="s">
        <v>51</v>
      </c>
      <c r="G230" s="27" t="s">
        <v>402</v>
      </c>
      <c r="H230" s="40">
        <f ca="1">Tabel2[[#This Row],[KEHADIRAN]]/100</f>
        <v>0.98</v>
      </c>
    </row>
    <row r="231" spans="2:8" x14ac:dyDescent="0.25">
      <c r="B231" s="27" t="s">
        <v>350</v>
      </c>
      <c r="C231" s="10" t="s">
        <v>1077</v>
      </c>
      <c r="D231" s="10" t="s">
        <v>1078</v>
      </c>
      <c r="E231" s="27" t="s">
        <v>319</v>
      </c>
      <c r="F231" s="27" t="s">
        <v>166</v>
      </c>
      <c r="G231" s="27" t="s">
        <v>252</v>
      </c>
      <c r="H231" s="40">
        <f ca="1">Tabel2[[#This Row],[KEHADIRAN]]/100</f>
        <v>0</v>
      </c>
    </row>
    <row r="232" spans="2:8" x14ac:dyDescent="0.25">
      <c r="B232" s="27" t="s">
        <v>351</v>
      </c>
      <c r="C232" s="10" t="s">
        <v>1079</v>
      </c>
      <c r="D232" s="10" t="s">
        <v>1080</v>
      </c>
      <c r="E232" s="27" t="s">
        <v>31</v>
      </c>
      <c r="F232" s="27" t="s">
        <v>223</v>
      </c>
      <c r="G232" s="27" t="s">
        <v>1081</v>
      </c>
      <c r="H232" s="40">
        <f ca="1">Tabel2[[#This Row],[KEHADIRAN]]/100</f>
        <v>0.89</v>
      </c>
    </row>
    <row r="233" spans="2:8" x14ac:dyDescent="0.25">
      <c r="B233" s="27" t="s">
        <v>352</v>
      </c>
      <c r="C233" s="10" t="s">
        <v>1082</v>
      </c>
      <c r="D233" s="10" t="s">
        <v>1083</v>
      </c>
      <c r="E233" s="27" t="s">
        <v>31</v>
      </c>
      <c r="F233" s="27" t="s">
        <v>51</v>
      </c>
      <c r="G233" s="27" t="s">
        <v>122</v>
      </c>
      <c r="H233" s="40">
        <f ca="1">Tabel2[[#This Row],[KEHADIRAN]]/100</f>
        <v>0.97</v>
      </c>
    </row>
    <row r="234" spans="2:8" x14ac:dyDescent="0.25">
      <c r="B234" s="27" t="s">
        <v>353</v>
      </c>
      <c r="C234" s="10" t="s">
        <v>1084</v>
      </c>
      <c r="D234" s="10" t="s">
        <v>1085</v>
      </c>
      <c r="E234" s="27" t="s">
        <v>31</v>
      </c>
      <c r="F234" s="27" t="s">
        <v>51</v>
      </c>
      <c r="G234" s="27" t="s">
        <v>181</v>
      </c>
      <c r="H234" s="40">
        <f ca="1">Tabel2[[#This Row],[KEHADIRAN]]/100</f>
        <v>0.88</v>
      </c>
    </row>
    <row r="235" spans="2:8" x14ac:dyDescent="0.25">
      <c r="B235" s="27" t="s">
        <v>354</v>
      </c>
      <c r="C235" s="10" t="s">
        <v>1086</v>
      </c>
      <c r="D235" s="10" t="s">
        <v>221</v>
      </c>
      <c r="E235" s="27" t="s">
        <v>31</v>
      </c>
      <c r="F235" s="27" t="s">
        <v>51</v>
      </c>
      <c r="G235" s="27" t="s">
        <v>130</v>
      </c>
      <c r="H235" s="40">
        <f ca="1">Tabel2[[#This Row],[KEHADIRAN]]/100</f>
        <v>0.85</v>
      </c>
    </row>
    <row r="236" spans="2:8" x14ac:dyDescent="0.25">
      <c r="B236" s="27" t="s">
        <v>356</v>
      </c>
      <c r="C236" s="10" t="s">
        <v>1087</v>
      </c>
      <c r="D236" s="10" t="s">
        <v>1088</v>
      </c>
      <c r="E236" s="27" t="s">
        <v>31</v>
      </c>
      <c r="F236" s="27" t="s">
        <v>164</v>
      </c>
      <c r="G236" s="27" t="s">
        <v>733</v>
      </c>
      <c r="H236" s="40">
        <f ca="1">Tabel2[[#This Row],[KEHADIRAN]]/100</f>
        <v>0.99</v>
      </c>
    </row>
    <row r="237" spans="2:8" x14ac:dyDescent="0.25">
      <c r="B237" s="27" t="s">
        <v>357</v>
      </c>
      <c r="C237" s="10" t="s">
        <v>1089</v>
      </c>
      <c r="D237" s="10" t="s">
        <v>1090</v>
      </c>
      <c r="E237" s="27" t="s">
        <v>31</v>
      </c>
      <c r="F237" s="27" t="s">
        <v>109</v>
      </c>
      <c r="G237" s="27" t="s">
        <v>288</v>
      </c>
      <c r="H237" s="40">
        <f ca="1">Tabel2[[#This Row],[KEHADIRAN]]/100</f>
        <v>0.96</v>
      </c>
    </row>
    <row r="238" spans="2:8" x14ac:dyDescent="0.25">
      <c r="B238" s="27" t="s">
        <v>358</v>
      </c>
      <c r="C238" s="10" t="s">
        <v>1091</v>
      </c>
      <c r="D238" s="10" t="s">
        <v>1092</v>
      </c>
      <c r="E238" s="27" t="s">
        <v>31</v>
      </c>
      <c r="F238" s="27" t="s">
        <v>51</v>
      </c>
      <c r="G238" s="27" t="s">
        <v>169</v>
      </c>
      <c r="H238" s="40">
        <f ca="1">Tabel2[[#This Row],[KEHADIRAN]]/100</f>
        <v>0.9</v>
      </c>
    </row>
    <row r="239" spans="2:8" x14ac:dyDescent="0.25">
      <c r="B239" s="27" t="s">
        <v>359</v>
      </c>
      <c r="C239" s="10" t="s">
        <v>1093</v>
      </c>
      <c r="D239" s="10" t="s">
        <v>1094</v>
      </c>
      <c r="E239" s="27" t="s">
        <v>31</v>
      </c>
      <c r="F239" s="27" t="s">
        <v>51</v>
      </c>
      <c r="G239" s="27" t="s">
        <v>405</v>
      </c>
      <c r="H239" s="40">
        <f ca="1">Tabel2[[#This Row],[KEHADIRAN]]/100</f>
        <v>0.99</v>
      </c>
    </row>
    <row r="240" spans="2:8" x14ac:dyDescent="0.25">
      <c r="B240" s="27" t="s">
        <v>360</v>
      </c>
      <c r="C240" s="10" t="s">
        <v>1095</v>
      </c>
      <c r="D240" s="10" t="s">
        <v>1096</v>
      </c>
      <c r="E240" s="27" t="s">
        <v>31</v>
      </c>
      <c r="F240" s="27" t="s">
        <v>51</v>
      </c>
      <c r="G240" s="27" t="s">
        <v>298</v>
      </c>
      <c r="H240" s="40">
        <f ca="1">Tabel2[[#This Row],[KEHADIRAN]]/100</f>
        <v>0.83</v>
      </c>
    </row>
    <row r="241" spans="2:8" x14ac:dyDescent="0.25">
      <c r="B241" s="27" t="s">
        <v>361</v>
      </c>
      <c r="C241" s="10" t="s">
        <v>1097</v>
      </c>
      <c r="D241" s="10" t="s">
        <v>1098</v>
      </c>
      <c r="E241" s="27" t="s">
        <v>31</v>
      </c>
      <c r="F241" s="27" t="s">
        <v>51</v>
      </c>
      <c r="G241" s="27" t="s">
        <v>412</v>
      </c>
      <c r="H241" s="40">
        <f ca="1">Tabel2[[#This Row],[KEHADIRAN]]/100</f>
        <v>0.8</v>
      </c>
    </row>
    <row r="242" spans="2:8" x14ac:dyDescent="0.25">
      <c r="B242" s="27" t="s">
        <v>362</v>
      </c>
      <c r="C242" s="10" t="s">
        <v>1099</v>
      </c>
      <c r="D242" s="10" t="s">
        <v>1100</v>
      </c>
      <c r="E242" s="27" t="s">
        <v>31</v>
      </c>
      <c r="F242" s="27" t="s">
        <v>51</v>
      </c>
      <c r="G242" s="27" t="s">
        <v>241</v>
      </c>
      <c r="H242" s="40">
        <f ca="1">Tabel2[[#This Row],[KEHADIRAN]]/100</f>
        <v>0.82</v>
      </c>
    </row>
    <row r="243" spans="2:8" x14ac:dyDescent="0.25">
      <c r="B243" s="27" t="s">
        <v>363</v>
      </c>
      <c r="C243" s="10" t="s">
        <v>1101</v>
      </c>
      <c r="D243" s="10" t="s">
        <v>1102</v>
      </c>
      <c r="E243" s="27" t="s">
        <v>31</v>
      </c>
      <c r="F243" s="27" t="s">
        <v>51</v>
      </c>
      <c r="G243" s="27" t="s">
        <v>141</v>
      </c>
      <c r="H243" s="40">
        <f ca="1">Tabel2[[#This Row],[KEHADIRAN]]/100</f>
        <v>0.9</v>
      </c>
    </row>
    <row r="244" spans="2:8" x14ac:dyDescent="0.25">
      <c r="B244" s="27" t="s">
        <v>364</v>
      </c>
      <c r="C244" s="10" t="s">
        <v>1103</v>
      </c>
      <c r="D244" s="10" t="s">
        <v>1104</v>
      </c>
      <c r="E244" s="27" t="s">
        <v>31</v>
      </c>
      <c r="F244" s="27" t="s">
        <v>51</v>
      </c>
      <c r="G244" s="27" t="s">
        <v>160</v>
      </c>
      <c r="H244" s="40">
        <f ca="1">Tabel2[[#This Row],[KEHADIRAN]]/100</f>
        <v>0.82</v>
      </c>
    </row>
    <row r="245" spans="2:8" x14ac:dyDescent="0.25">
      <c r="B245" s="27" t="s">
        <v>365</v>
      </c>
      <c r="C245" s="10" t="s">
        <v>1105</v>
      </c>
      <c r="D245" s="10" t="s">
        <v>1106</v>
      </c>
      <c r="E245" s="27" t="s">
        <v>31</v>
      </c>
      <c r="F245" s="27" t="s">
        <v>51</v>
      </c>
      <c r="G245" s="27" t="s">
        <v>403</v>
      </c>
      <c r="H245" s="40">
        <f ca="1">Tabel2[[#This Row],[KEHADIRAN]]/100</f>
        <v>0.84</v>
      </c>
    </row>
    <row r="246" spans="2:8" x14ac:dyDescent="0.25">
      <c r="B246" s="27" t="s">
        <v>366</v>
      </c>
      <c r="C246" s="10" t="s">
        <v>1107</v>
      </c>
      <c r="D246" s="10" t="s">
        <v>1108</v>
      </c>
      <c r="E246" s="27" t="s">
        <v>31</v>
      </c>
      <c r="F246" s="27" t="s">
        <v>51</v>
      </c>
      <c r="G246" s="27" t="s">
        <v>115</v>
      </c>
      <c r="H246" s="40">
        <f ca="1">Tabel2[[#This Row],[KEHADIRAN]]/100</f>
        <v>0.87</v>
      </c>
    </row>
    <row r="247" spans="2:8" x14ac:dyDescent="0.25">
      <c r="B247" s="27" t="s">
        <v>367</v>
      </c>
      <c r="C247" s="10" t="s">
        <v>1109</v>
      </c>
      <c r="D247" s="10" t="s">
        <v>1110</v>
      </c>
      <c r="E247" s="27" t="s">
        <v>31</v>
      </c>
      <c r="F247" s="27" t="s">
        <v>51</v>
      </c>
      <c r="G247" s="27" t="s">
        <v>332</v>
      </c>
      <c r="H247" s="40">
        <f ca="1">Tabel2[[#This Row],[KEHADIRAN]]/100</f>
        <v>1</v>
      </c>
    </row>
    <row r="248" spans="2:8" x14ac:dyDescent="0.25">
      <c r="B248" s="27" t="s">
        <v>368</v>
      </c>
      <c r="C248" s="10" t="s">
        <v>1111</v>
      </c>
      <c r="D248" s="10" t="s">
        <v>1112</v>
      </c>
      <c r="E248" s="27" t="s">
        <v>31</v>
      </c>
      <c r="F248" s="27" t="s">
        <v>51</v>
      </c>
      <c r="G248" s="27" t="s">
        <v>280</v>
      </c>
      <c r="H248" s="40">
        <f ca="1">Tabel2[[#This Row],[KEHADIRAN]]/100</f>
        <v>0.81</v>
      </c>
    </row>
    <row r="249" spans="2:8" x14ac:dyDescent="0.25">
      <c r="B249" s="27" t="s">
        <v>369</v>
      </c>
      <c r="C249" s="10" t="s">
        <v>1113</v>
      </c>
      <c r="D249" s="10" t="s">
        <v>1114</v>
      </c>
      <c r="E249" s="27" t="s">
        <v>31</v>
      </c>
      <c r="F249" s="27" t="s">
        <v>51</v>
      </c>
      <c r="G249" s="27" t="s">
        <v>132</v>
      </c>
      <c r="H249" s="40">
        <f ca="1">Tabel2[[#This Row],[KEHADIRAN]]/100</f>
        <v>0.92</v>
      </c>
    </row>
    <row r="250" spans="2:8" x14ac:dyDescent="0.25">
      <c r="B250" s="27" t="s">
        <v>370</v>
      </c>
      <c r="C250" s="10" t="s">
        <v>1115</v>
      </c>
      <c r="D250" s="10" t="s">
        <v>1116</v>
      </c>
      <c r="E250" s="27" t="s">
        <v>31</v>
      </c>
      <c r="F250" s="27" t="s">
        <v>51</v>
      </c>
      <c r="G250" s="27" t="s">
        <v>115</v>
      </c>
      <c r="H250" s="40">
        <f ca="1">Tabel2[[#This Row],[KEHADIRAN]]/100</f>
        <v>0.8</v>
      </c>
    </row>
    <row r="251" spans="2:8" x14ac:dyDescent="0.25">
      <c r="B251" s="27" t="s">
        <v>371</v>
      </c>
      <c r="C251" s="10" t="s">
        <v>1117</v>
      </c>
      <c r="D251" s="10" t="s">
        <v>1118</v>
      </c>
      <c r="E251" s="27" t="s">
        <v>31</v>
      </c>
      <c r="F251" s="27" t="s">
        <v>51</v>
      </c>
      <c r="G251" s="27" t="s">
        <v>254</v>
      </c>
      <c r="H251" s="40">
        <f ca="1">Tabel2[[#This Row],[KEHADIRAN]]/100</f>
        <v>1</v>
      </c>
    </row>
    <row r="252" spans="2:8" x14ac:dyDescent="0.25">
      <c r="B252" s="27" t="s">
        <v>372</v>
      </c>
      <c r="C252" s="10" t="s">
        <v>1119</v>
      </c>
      <c r="D252" s="10" t="s">
        <v>1120</v>
      </c>
      <c r="E252" s="27" t="s">
        <v>31</v>
      </c>
      <c r="F252" s="27" t="s">
        <v>51</v>
      </c>
      <c r="G252" s="27" t="s">
        <v>146</v>
      </c>
      <c r="H252" s="40">
        <f ca="1">Tabel2[[#This Row],[KEHADIRAN]]/100</f>
        <v>0.83</v>
      </c>
    </row>
    <row r="253" spans="2:8" x14ac:dyDescent="0.25">
      <c r="B253" s="27" t="s">
        <v>373</v>
      </c>
      <c r="C253" s="10" t="s">
        <v>1121</v>
      </c>
      <c r="D253" s="10" t="s">
        <v>1122</v>
      </c>
      <c r="E253" s="27" t="s">
        <v>31</v>
      </c>
      <c r="F253" s="27" t="s">
        <v>51</v>
      </c>
      <c r="G253" s="27" t="s">
        <v>113</v>
      </c>
      <c r="H253" s="40">
        <f ca="1">Tabel2[[#This Row],[KEHADIRAN]]/100</f>
        <v>0.83</v>
      </c>
    </row>
    <row r="254" spans="2:8" x14ac:dyDescent="0.25">
      <c r="B254" s="27" t="s">
        <v>374</v>
      </c>
      <c r="C254" s="10" t="s">
        <v>1123</v>
      </c>
      <c r="D254" s="10" t="s">
        <v>1124</v>
      </c>
      <c r="E254" s="27" t="s">
        <v>31</v>
      </c>
      <c r="F254" s="27" t="s">
        <v>51</v>
      </c>
      <c r="G254" s="27" t="s">
        <v>298</v>
      </c>
      <c r="H254" s="40">
        <f ca="1">Tabel2[[#This Row],[KEHADIRAN]]/100</f>
        <v>0.91</v>
      </c>
    </row>
    <row r="255" spans="2:8" x14ac:dyDescent="0.25">
      <c r="B255" s="27" t="s">
        <v>375</v>
      </c>
      <c r="C255" s="10" t="s">
        <v>1125</v>
      </c>
      <c r="D255" s="10" t="s">
        <v>1126</v>
      </c>
      <c r="E255" s="27" t="s">
        <v>31</v>
      </c>
      <c r="F255" s="27" t="s">
        <v>51</v>
      </c>
      <c r="G255" s="27" t="s">
        <v>412</v>
      </c>
      <c r="H255" s="40">
        <f ca="1">Tabel2[[#This Row],[KEHADIRAN]]/100</f>
        <v>0.96</v>
      </c>
    </row>
    <row r="256" spans="2:8" x14ac:dyDescent="0.25">
      <c r="B256" s="27" t="s">
        <v>376</v>
      </c>
      <c r="C256" s="10" t="s">
        <v>1127</v>
      </c>
      <c r="D256" s="10" t="s">
        <v>1128</v>
      </c>
      <c r="E256" s="27" t="s">
        <v>319</v>
      </c>
      <c r="F256" s="27" t="s">
        <v>48</v>
      </c>
      <c r="G256" s="27" t="s">
        <v>1129</v>
      </c>
      <c r="H256" s="40">
        <f ca="1">Tabel2[[#This Row],[KEHADIRAN]]/100</f>
        <v>0</v>
      </c>
    </row>
    <row r="257" spans="2:8" x14ac:dyDescent="0.25">
      <c r="B257" s="27" t="s">
        <v>377</v>
      </c>
      <c r="C257" s="10" t="s">
        <v>1130</v>
      </c>
      <c r="D257" s="10" t="s">
        <v>1131</v>
      </c>
      <c r="E257" s="27" t="s">
        <v>31</v>
      </c>
      <c r="F257" s="27" t="s">
        <v>51</v>
      </c>
      <c r="G257" s="27" t="s">
        <v>1132</v>
      </c>
      <c r="H257" s="40">
        <f ca="1">Tabel2[[#This Row],[KEHADIRAN]]/100</f>
        <v>0.83</v>
      </c>
    </row>
    <row r="258" spans="2:8" x14ac:dyDescent="0.25">
      <c r="B258" s="27" t="s">
        <v>378</v>
      </c>
      <c r="C258" s="10" t="s">
        <v>1133</v>
      </c>
      <c r="D258" s="10" t="s">
        <v>1134</v>
      </c>
      <c r="E258" s="27" t="s">
        <v>31</v>
      </c>
      <c r="F258" s="27" t="s">
        <v>51</v>
      </c>
      <c r="G258" s="27" t="s">
        <v>218</v>
      </c>
      <c r="H258" s="40">
        <f ca="1">Tabel2[[#This Row],[KEHADIRAN]]/100</f>
        <v>0.84</v>
      </c>
    </row>
    <row r="259" spans="2:8" x14ac:dyDescent="0.25">
      <c r="B259" s="27" t="s">
        <v>379</v>
      </c>
      <c r="C259" s="10" t="s">
        <v>1135</v>
      </c>
      <c r="D259" s="10" t="s">
        <v>1136</v>
      </c>
      <c r="E259" s="27" t="s">
        <v>31</v>
      </c>
      <c r="F259" s="27" t="s">
        <v>51</v>
      </c>
      <c r="G259" s="27" t="s">
        <v>403</v>
      </c>
      <c r="H259" s="40">
        <f ca="1">Tabel2[[#This Row],[KEHADIRAN]]/100</f>
        <v>0.89</v>
      </c>
    </row>
    <row r="260" spans="2:8" x14ac:dyDescent="0.25">
      <c r="B260" s="27" t="s">
        <v>380</v>
      </c>
      <c r="C260" s="10" t="s">
        <v>1137</v>
      </c>
      <c r="D260" s="10" t="s">
        <v>1138</v>
      </c>
      <c r="E260" s="27" t="s">
        <v>31</v>
      </c>
      <c r="F260" s="27" t="s">
        <v>51</v>
      </c>
      <c r="G260" s="27" t="s">
        <v>111</v>
      </c>
      <c r="H260" s="40">
        <f ca="1">Tabel2[[#This Row],[KEHADIRAN]]/100</f>
        <v>0.88</v>
      </c>
    </row>
    <row r="261" spans="2:8" x14ac:dyDescent="0.25">
      <c r="B261" s="27" t="s">
        <v>381</v>
      </c>
      <c r="C261" s="10" t="s">
        <v>1139</v>
      </c>
      <c r="D261" s="10" t="s">
        <v>1140</v>
      </c>
      <c r="E261" s="27" t="s">
        <v>31</v>
      </c>
      <c r="F261" s="27" t="s">
        <v>207</v>
      </c>
      <c r="G261" s="27" t="s">
        <v>389</v>
      </c>
      <c r="H261" s="40">
        <f ca="1">Tabel2[[#This Row],[KEHADIRAN]]/100</f>
        <v>0.96</v>
      </c>
    </row>
    <row r="262" spans="2:8" x14ac:dyDescent="0.25">
      <c r="B262" s="27" t="s">
        <v>382</v>
      </c>
      <c r="C262" s="10" t="s">
        <v>1141</v>
      </c>
      <c r="D262" s="10" t="s">
        <v>1142</v>
      </c>
      <c r="E262" s="27" t="s">
        <v>31</v>
      </c>
      <c r="F262" s="27" t="s">
        <v>51</v>
      </c>
      <c r="G262" s="27" t="s">
        <v>332</v>
      </c>
      <c r="H262" s="40">
        <f ca="1">Tabel2[[#This Row],[KEHADIRAN]]/100</f>
        <v>0.82</v>
      </c>
    </row>
    <row r="263" spans="2:8" x14ac:dyDescent="0.25">
      <c r="B263" s="27" t="s">
        <v>383</v>
      </c>
      <c r="C263" s="10" t="s">
        <v>1143</v>
      </c>
      <c r="D263" s="10" t="s">
        <v>1144</v>
      </c>
      <c r="E263" s="27" t="s">
        <v>319</v>
      </c>
      <c r="F263" s="27" t="s">
        <v>48</v>
      </c>
      <c r="G263" s="27" t="s">
        <v>323</v>
      </c>
      <c r="H263" s="40">
        <f ca="1">Tabel2[[#This Row],[KEHADIRAN]]/100</f>
        <v>0</v>
      </c>
    </row>
    <row r="264" spans="2:8" x14ac:dyDescent="0.25">
      <c r="B264" s="27" t="s">
        <v>384</v>
      </c>
      <c r="C264" s="10" t="s">
        <v>1145</v>
      </c>
      <c r="D264" s="10" t="s">
        <v>1146</v>
      </c>
      <c r="E264" s="27" t="s">
        <v>31</v>
      </c>
      <c r="F264" s="27" t="s">
        <v>51</v>
      </c>
      <c r="G264" s="27" t="s">
        <v>332</v>
      </c>
      <c r="H264" s="40">
        <f ca="1">Tabel2[[#This Row],[KEHADIRAN]]/100</f>
        <v>0.87</v>
      </c>
    </row>
    <row r="265" spans="2:8" x14ac:dyDescent="0.25">
      <c r="B265" s="27" t="s">
        <v>385</v>
      </c>
      <c r="C265" s="10" t="s">
        <v>1147</v>
      </c>
      <c r="D265" s="10" t="s">
        <v>1148</v>
      </c>
      <c r="E265" s="27" t="s">
        <v>31</v>
      </c>
      <c r="F265" s="27" t="s">
        <v>51</v>
      </c>
      <c r="G265" s="27" t="s">
        <v>199</v>
      </c>
      <c r="H265" s="40">
        <f ca="1">Tabel2[[#This Row],[KEHADIRAN]]/100</f>
        <v>0.8</v>
      </c>
    </row>
    <row r="266" spans="2:8" x14ac:dyDescent="0.25">
      <c r="B266" s="27" t="s">
        <v>386</v>
      </c>
      <c r="C266" s="10" t="s">
        <v>1149</v>
      </c>
      <c r="D266" s="10" t="s">
        <v>1150</v>
      </c>
      <c r="E266" s="27" t="s">
        <v>319</v>
      </c>
      <c r="F266" s="27" t="s">
        <v>166</v>
      </c>
      <c r="G266" s="27" t="s">
        <v>880</v>
      </c>
      <c r="H266" s="40">
        <f ca="1">Tabel2[[#This Row],[KEHADIRAN]]/100</f>
        <v>0</v>
      </c>
    </row>
    <row r="267" spans="2:8" x14ac:dyDescent="0.25">
      <c r="B267" s="27" t="s">
        <v>387</v>
      </c>
      <c r="C267" s="10" t="s">
        <v>1151</v>
      </c>
      <c r="D267" s="10" t="s">
        <v>1152</v>
      </c>
      <c r="E267" s="27" t="s">
        <v>31</v>
      </c>
      <c r="F267" s="27" t="s">
        <v>51</v>
      </c>
      <c r="G267" s="27" t="s">
        <v>248</v>
      </c>
      <c r="H267" s="40">
        <f ca="1">Tabel2[[#This Row],[KEHADIRAN]]/100</f>
        <v>0.93</v>
      </c>
    </row>
    <row r="268" spans="2:8" x14ac:dyDescent="0.25">
      <c r="B268" s="27" t="s">
        <v>388</v>
      </c>
      <c r="C268" s="10" t="s">
        <v>1153</v>
      </c>
      <c r="D268" s="10" t="s">
        <v>1154</v>
      </c>
      <c r="E268" s="27" t="s">
        <v>31</v>
      </c>
      <c r="F268" s="27" t="s">
        <v>51</v>
      </c>
      <c r="G268" s="27" t="s">
        <v>293</v>
      </c>
      <c r="H268" s="40">
        <f ca="1">Tabel2[[#This Row],[KEHADIRAN]]/100</f>
        <v>0.98</v>
      </c>
    </row>
    <row r="269" spans="2:8" x14ac:dyDescent="0.25">
      <c r="B269" s="27" t="s">
        <v>390</v>
      </c>
      <c r="C269" s="10" t="s">
        <v>1155</v>
      </c>
      <c r="D269" s="10" t="s">
        <v>1156</v>
      </c>
      <c r="E269" s="27" t="s">
        <v>31</v>
      </c>
      <c r="F269" s="27" t="s">
        <v>51</v>
      </c>
      <c r="G269" s="27" t="s">
        <v>404</v>
      </c>
      <c r="H269" s="40">
        <f ca="1">Tabel2[[#This Row],[KEHADIRAN]]/100</f>
        <v>0.9</v>
      </c>
    </row>
    <row r="270" spans="2:8" x14ac:dyDescent="0.25">
      <c r="B270" s="27" t="s">
        <v>391</v>
      </c>
      <c r="C270" s="10" t="s">
        <v>1157</v>
      </c>
      <c r="D270" s="10" t="s">
        <v>1158</v>
      </c>
      <c r="E270" s="27" t="s">
        <v>31</v>
      </c>
      <c r="F270" s="27" t="s">
        <v>51</v>
      </c>
      <c r="G270" s="27" t="s">
        <v>199</v>
      </c>
      <c r="H270" s="40">
        <f ca="1">Tabel2[[#This Row],[KEHADIRAN]]/100</f>
        <v>0.84</v>
      </c>
    </row>
    <row r="271" spans="2:8" x14ac:dyDescent="0.25">
      <c r="B271" s="27" t="s">
        <v>392</v>
      </c>
      <c r="C271" s="10" t="s">
        <v>1159</v>
      </c>
      <c r="D271" s="10" t="s">
        <v>1160</v>
      </c>
      <c r="E271" s="27" t="s">
        <v>31</v>
      </c>
      <c r="F271" s="27" t="s">
        <v>51</v>
      </c>
      <c r="G271" s="27" t="s">
        <v>416</v>
      </c>
      <c r="H271" s="40">
        <f ca="1">Tabel2[[#This Row],[KEHADIRAN]]/100</f>
        <v>0.95</v>
      </c>
    </row>
    <row r="272" spans="2:8" x14ac:dyDescent="0.25">
      <c r="B272" s="27" t="s">
        <v>393</v>
      </c>
      <c r="C272" s="10" t="s">
        <v>1161</v>
      </c>
      <c r="D272" s="10" t="s">
        <v>1162</v>
      </c>
      <c r="E272" s="27" t="s">
        <v>31</v>
      </c>
      <c r="F272" s="27" t="s">
        <v>51</v>
      </c>
      <c r="G272" s="27" t="s">
        <v>143</v>
      </c>
      <c r="H272" s="40">
        <f ca="1">Tabel2[[#This Row],[KEHADIRAN]]/100</f>
        <v>0.93</v>
      </c>
    </row>
    <row r="273" spans="2:8" x14ac:dyDescent="0.25">
      <c r="B273" s="27" t="s">
        <v>394</v>
      </c>
      <c r="C273" s="10" t="s">
        <v>1163</v>
      </c>
      <c r="D273" s="10" t="s">
        <v>1164</v>
      </c>
      <c r="E273" s="27" t="s">
        <v>31</v>
      </c>
      <c r="F273" s="27" t="s">
        <v>51</v>
      </c>
      <c r="G273" s="27" t="s">
        <v>271</v>
      </c>
      <c r="H273" s="40">
        <f ca="1">Tabel2[[#This Row],[KEHADIRAN]]/100</f>
        <v>0.98</v>
      </c>
    </row>
    <row r="274" spans="2:8" x14ac:dyDescent="0.25">
      <c r="B274" s="27" t="s">
        <v>395</v>
      </c>
      <c r="C274" s="10" t="s">
        <v>1165</v>
      </c>
      <c r="D274" s="10" t="s">
        <v>1166</v>
      </c>
      <c r="E274" s="27" t="s">
        <v>31</v>
      </c>
      <c r="F274" s="27" t="s">
        <v>51</v>
      </c>
      <c r="G274" s="27" t="s">
        <v>132</v>
      </c>
      <c r="H274" s="40">
        <f ca="1">Tabel2[[#This Row],[KEHADIRAN]]/100</f>
        <v>0.99</v>
      </c>
    </row>
    <row r="275" spans="2:8" x14ac:dyDescent="0.25">
      <c r="B275" s="27" t="s">
        <v>396</v>
      </c>
      <c r="C275" s="10" t="s">
        <v>1167</v>
      </c>
      <c r="D275" s="10" t="s">
        <v>1168</v>
      </c>
      <c r="E275" s="27" t="s">
        <v>31</v>
      </c>
      <c r="F275" s="27" t="s">
        <v>60</v>
      </c>
      <c r="G275" s="27" t="s">
        <v>415</v>
      </c>
      <c r="H275" s="40">
        <f ca="1">Tabel2[[#This Row],[KEHADIRAN]]/100</f>
        <v>0.82</v>
      </c>
    </row>
    <row r="276" spans="2:8" x14ac:dyDescent="0.25">
      <c r="B276" s="27" t="s">
        <v>397</v>
      </c>
      <c r="C276" s="10" t="s">
        <v>1169</v>
      </c>
      <c r="D276" s="10" t="s">
        <v>1170</v>
      </c>
      <c r="E276" s="27" t="s">
        <v>31</v>
      </c>
      <c r="F276" s="27" t="s">
        <v>51</v>
      </c>
      <c r="G276" s="27" t="s">
        <v>97</v>
      </c>
      <c r="H276" s="40">
        <f ca="1">Tabel2[[#This Row],[KEHADIRAN]]/100</f>
        <v>0.97</v>
      </c>
    </row>
    <row r="277" spans="2:8" x14ac:dyDescent="0.25">
      <c r="B277" s="27" t="s">
        <v>398</v>
      </c>
      <c r="C277" s="10" t="s">
        <v>1171</v>
      </c>
      <c r="D277" s="10" t="s">
        <v>1172</v>
      </c>
      <c r="E277" s="27" t="s">
        <v>31</v>
      </c>
      <c r="F277" s="27" t="s">
        <v>51</v>
      </c>
      <c r="G277" s="27" t="s">
        <v>137</v>
      </c>
      <c r="H277" s="40">
        <f ca="1">Tabel2[[#This Row],[KEHADIRAN]]/100</f>
        <v>0.86</v>
      </c>
    </row>
    <row r="278" spans="2:8" x14ac:dyDescent="0.25">
      <c r="B278" s="27" t="s">
        <v>399</v>
      </c>
      <c r="C278" s="10" t="s">
        <v>1173</v>
      </c>
      <c r="D278" s="10" t="s">
        <v>1174</v>
      </c>
      <c r="E278" s="27" t="s">
        <v>31</v>
      </c>
      <c r="F278" s="27" t="s">
        <v>123</v>
      </c>
      <c r="G278" s="27" t="s">
        <v>1175</v>
      </c>
      <c r="H278" s="40">
        <f ca="1">Tabel2[[#This Row],[KEHADIRAN]]/100</f>
        <v>0.9</v>
      </c>
    </row>
    <row r="279" spans="2:8" x14ac:dyDescent="0.25">
      <c r="B279" s="27" t="s">
        <v>400</v>
      </c>
      <c r="C279" s="10" t="s">
        <v>1176</v>
      </c>
      <c r="D279" s="10" t="s">
        <v>1177</v>
      </c>
      <c r="E279" s="27" t="s">
        <v>31</v>
      </c>
      <c r="F279" s="27" t="s">
        <v>100</v>
      </c>
      <c r="G279" s="27" t="s">
        <v>1178</v>
      </c>
      <c r="H279" s="40">
        <f ca="1">Tabel2[[#This Row],[KEHADIRAN]]/100</f>
        <v>0.83</v>
      </c>
    </row>
    <row r="280" spans="2:8" x14ac:dyDescent="0.25">
      <c r="B280" s="27" t="s">
        <v>401</v>
      </c>
      <c r="C280" s="10" t="s">
        <v>1179</v>
      </c>
      <c r="D280" s="10" t="s">
        <v>1180</v>
      </c>
      <c r="E280" s="27" t="s">
        <v>31</v>
      </c>
      <c r="F280" s="27" t="s">
        <v>51</v>
      </c>
      <c r="G280" s="27" t="s">
        <v>328</v>
      </c>
      <c r="H280" s="40">
        <f ca="1">Tabel2[[#This Row],[KEHADIRAN]]/100</f>
        <v>0.97</v>
      </c>
    </row>
    <row r="281" spans="2:8" x14ac:dyDescent="0.25">
      <c r="B281" s="31"/>
      <c r="C281" s="12"/>
      <c r="D281" s="10"/>
      <c r="G281" s="33"/>
    </row>
    <row r="282" spans="2:8" x14ac:dyDescent="0.25">
      <c r="B282" s="13"/>
      <c r="C282" s="14"/>
      <c r="E282" s="14"/>
      <c r="F282" s="14"/>
      <c r="G282" s="16"/>
    </row>
    <row r="283" spans="2:8" x14ac:dyDescent="0.25">
      <c r="B283" s="17"/>
      <c r="C283" s="18"/>
      <c r="D283" s="26"/>
      <c r="E283" s="18"/>
      <c r="F283" s="18"/>
      <c r="G283" s="20"/>
    </row>
    <row r="284" spans="2:8" x14ac:dyDescent="0.25">
      <c r="B284" s="13"/>
      <c r="C284" s="14"/>
      <c r="E284" s="14"/>
      <c r="F284" s="14"/>
      <c r="G284" s="16"/>
    </row>
    <row r="285" spans="2:8" x14ac:dyDescent="0.25">
      <c r="B285" s="17"/>
      <c r="C285" s="18"/>
      <c r="D285" s="26"/>
      <c r="E285" s="18"/>
      <c r="F285" s="18"/>
      <c r="G285" s="20"/>
    </row>
    <row r="286" spans="2:8" x14ac:dyDescent="0.25">
      <c r="B286" s="13"/>
      <c r="C286" s="14"/>
      <c r="E286" s="14"/>
      <c r="F286" s="14"/>
      <c r="G286" s="16"/>
    </row>
    <row r="287" spans="2:8" x14ac:dyDescent="0.25">
      <c r="B287" s="17"/>
      <c r="C287" s="18"/>
      <c r="D287" s="26"/>
      <c r="E287" s="18"/>
      <c r="F287" s="18"/>
      <c r="G287" s="20"/>
    </row>
    <row r="288" spans="2:8" x14ac:dyDescent="0.25">
      <c r="B288" s="13"/>
      <c r="C288" s="14"/>
      <c r="E288" s="14"/>
      <c r="F288" s="14"/>
      <c r="G288" s="16"/>
    </row>
    <row r="289" spans="2:7" x14ac:dyDescent="0.25">
      <c r="B289" s="17"/>
      <c r="C289" s="18"/>
      <c r="D289" s="26"/>
      <c r="E289" s="18"/>
      <c r="F289" s="18"/>
      <c r="G289" s="20"/>
    </row>
    <row r="290" spans="2:7" x14ac:dyDescent="0.25">
      <c r="B290" s="13"/>
      <c r="C290" s="14"/>
      <c r="E290" s="14"/>
      <c r="F290" s="14"/>
      <c r="G290" s="16"/>
    </row>
    <row r="291" spans="2:7" x14ac:dyDescent="0.25">
      <c r="B291" s="17"/>
      <c r="C291" s="18"/>
      <c r="D291" s="26"/>
      <c r="E291" s="18"/>
      <c r="F291" s="18"/>
      <c r="G291" s="20"/>
    </row>
    <row r="292" spans="2:7" x14ac:dyDescent="0.25">
      <c r="B292" s="13"/>
      <c r="C292" s="14"/>
      <c r="E292" s="14"/>
      <c r="F292" s="14"/>
      <c r="G292" s="16"/>
    </row>
    <row r="293" spans="2:7" x14ac:dyDescent="0.25">
      <c r="B293" s="17"/>
      <c r="C293" s="18"/>
      <c r="D293" s="26"/>
      <c r="E293" s="18"/>
      <c r="F293" s="18"/>
      <c r="G293" s="20"/>
    </row>
    <row r="294" spans="2:7" x14ac:dyDescent="0.25">
      <c r="B294" s="13"/>
      <c r="C294" s="14"/>
      <c r="E294" s="14"/>
      <c r="F294" s="14"/>
      <c r="G294" s="16"/>
    </row>
    <row r="295" spans="2:7" x14ac:dyDescent="0.25">
      <c r="B295" s="17"/>
      <c r="C295" s="18"/>
      <c r="D295" s="26"/>
      <c r="E295" s="18"/>
      <c r="F295" s="18"/>
      <c r="G295" s="20"/>
    </row>
    <row r="296" spans="2:7" x14ac:dyDescent="0.25">
      <c r="B296" s="13"/>
      <c r="C296" s="14"/>
      <c r="E296" s="14"/>
      <c r="F296" s="14"/>
      <c r="G296" s="16"/>
    </row>
    <row r="297" spans="2:7" x14ac:dyDescent="0.25">
      <c r="B297" s="17"/>
      <c r="C297" s="18"/>
      <c r="D297" s="26"/>
      <c r="E297" s="18"/>
      <c r="F297" s="18"/>
      <c r="G297" s="20"/>
    </row>
    <row r="298" spans="2:7" x14ac:dyDescent="0.25">
      <c r="B298" s="13"/>
      <c r="C298" s="14"/>
      <c r="E298" s="14"/>
      <c r="F298" s="14"/>
      <c r="G298" s="16"/>
    </row>
    <row r="299" spans="2:7" x14ac:dyDescent="0.25">
      <c r="B299" s="17"/>
      <c r="C299" s="18"/>
      <c r="D299" s="26"/>
      <c r="E299" s="18"/>
      <c r="F299" s="18"/>
      <c r="G299" s="20"/>
    </row>
    <row r="300" spans="2:7" x14ac:dyDescent="0.25">
      <c r="B300" s="13"/>
      <c r="C300" s="14"/>
      <c r="E300" s="14"/>
      <c r="F300" s="14"/>
      <c r="G300" s="16"/>
    </row>
    <row r="301" spans="2:7" x14ac:dyDescent="0.25">
      <c r="B301" s="17"/>
      <c r="C301" s="18"/>
      <c r="D301" s="26"/>
      <c r="E301" s="18"/>
      <c r="F301" s="18"/>
      <c r="G301" s="20"/>
    </row>
    <row r="302" spans="2:7" x14ac:dyDescent="0.25">
      <c r="B302" s="13"/>
      <c r="C302" s="14"/>
      <c r="E302" s="14"/>
      <c r="F302" s="14"/>
      <c r="G302" s="16"/>
    </row>
    <row r="303" spans="2:7" x14ac:dyDescent="0.25">
      <c r="B303" s="17"/>
      <c r="C303" s="18"/>
      <c r="D303" s="26"/>
      <c r="E303" s="18"/>
      <c r="F303" s="18"/>
      <c r="G303" s="20"/>
    </row>
    <row r="304" spans="2:7" x14ac:dyDescent="0.25">
      <c r="B304" s="13"/>
      <c r="C304" s="14"/>
      <c r="E304" s="14"/>
      <c r="F304" s="14"/>
      <c r="G304" s="16"/>
    </row>
    <row r="305" spans="2:7" x14ac:dyDescent="0.25">
      <c r="B305" s="17"/>
      <c r="C305" s="18"/>
      <c r="D305" s="26"/>
      <c r="E305" s="18"/>
      <c r="F305" s="18"/>
      <c r="G305" s="20"/>
    </row>
    <row r="306" spans="2:7" x14ac:dyDescent="0.25">
      <c r="B306" s="13"/>
      <c r="C306" s="14"/>
      <c r="E306" s="14"/>
      <c r="F306" s="14"/>
      <c r="G306" s="16"/>
    </row>
    <row r="307" spans="2:7" x14ac:dyDescent="0.25">
      <c r="B307" s="17"/>
      <c r="C307" s="18"/>
      <c r="D307" s="26"/>
      <c r="E307" s="18"/>
      <c r="F307" s="18"/>
      <c r="G307" s="20"/>
    </row>
    <row r="308" spans="2:7" x14ac:dyDescent="0.25">
      <c r="B308" s="13"/>
      <c r="C308" s="14"/>
      <c r="E308" s="14"/>
      <c r="F308" s="14"/>
      <c r="G308" s="16"/>
    </row>
    <row r="309" spans="2:7" x14ac:dyDescent="0.25">
      <c r="B309" s="17"/>
      <c r="C309" s="18"/>
      <c r="D309" s="26"/>
      <c r="E309" s="18"/>
      <c r="F309" s="18"/>
      <c r="G309" s="20"/>
    </row>
    <row r="310" spans="2:7" x14ac:dyDescent="0.25">
      <c r="B310" s="13"/>
      <c r="C310" s="14"/>
      <c r="E310" s="14"/>
      <c r="F310" s="14"/>
      <c r="G310" s="16"/>
    </row>
    <row r="311" spans="2:7" x14ac:dyDescent="0.25">
      <c r="B311" s="17"/>
      <c r="C311" s="18"/>
      <c r="D311" s="26"/>
      <c r="E311" s="18"/>
      <c r="F311" s="18"/>
      <c r="G311" s="20"/>
    </row>
    <row r="312" spans="2:7" x14ac:dyDescent="0.25">
      <c r="B312" s="13"/>
      <c r="C312" s="14"/>
      <c r="E312" s="14"/>
      <c r="F312" s="14"/>
      <c r="G312" s="16"/>
    </row>
    <row r="313" spans="2:7" x14ac:dyDescent="0.25">
      <c r="B313" s="17"/>
      <c r="C313" s="18"/>
      <c r="D313" s="26"/>
      <c r="E313" s="18"/>
      <c r="F313" s="18"/>
      <c r="G313" s="20"/>
    </row>
    <row r="314" spans="2:7" x14ac:dyDescent="0.25">
      <c r="B314" s="13"/>
      <c r="C314" s="14"/>
      <c r="E314" s="14"/>
      <c r="F314" s="14"/>
      <c r="G314" s="16"/>
    </row>
    <row r="315" spans="2:7" x14ac:dyDescent="0.25">
      <c r="B315" s="17"/>
      <c r="C315" s="18"/>
      <c r="D315" s="26"/>
      <c r="E315" s="18"/>
      <c r="F315" s="18"/>
      <c r="G315" s="20"/>
    </row>
    <row r="316" spans="2:7" x14ac:dyDescent="0.25">
      <c r="B316" s="13"/>
      <c r="C316" s="14"/>
      <c r="E316" s="14"/>
      <c r="F316" s="14"/>
      <c r="G316" s="16"/>
    </row>
    <row r="317" spans="2:7" x14ac:dyDescent="0.25">
      <c r="B317" s="17"/>
      <c r="C317" s="18"/>
      <c r="D317" s="26"/>
      <c r="E317" s="18"/>
      <c r="F317" s="18"/>
      <c r="G317" s="20"/>
    </row>
    <row r="318" spans="2:7" x14ac:dyDescent="0.25">
      <c r="B318" s="13"/>
      <c r="C318" s="14"/>
      <c r="E318" s="14"/>
      <c r="F318" s="14"/>
      <c r="G318" s="16"/>
    </row>
    <row r="319" spans="2:7" x14ac:dyDescent="0.25">
      <c r="B319" s="17"/>
      <c r="C319" s="18"/>
      <c r="D319" s="26"/>
      <c r="E319" s="18"/>
      <c r="F319" s="18"/>
      <c r="G319" s="20"/>
    </row>
    <row r="320" spans="2:7" x14ac:dyDescent="0.25">
      <c r="B320" s="13"/>
      <c r="C320" s="14"/>
      <c r="E320" s="14"/>
      <c r="F320" s="14"/>
      <c r="G320" s="16"/>
    </row>
    <row r="321" spans="2:7" x14ac:dyDescent="0.25">
      <c r="B321" s="17"/>
      <c r="C321" s="18"/>
      <c r="D321" s="26"/>
      <c r="E321" s="18"/>
      <c r="F321" s="18"/>
      <c r="G321" s="20"/>
    </row>
    <row r="322" spans="2:7" x14ac:dyDescent="0.25">
      <c r="B322" s="13"/>
      <c r="C322" s="14"/>
      <c r="E322" s="14"/>
      <c r="F322" s="14"/>
      <c r="G322" s="16"/>
    </row>
    <row r="323" spans="2:7" x14ac:dyDescent="0.25">
      <c r="B323" s="17"/>
      <c r="C323" s="18"/>
      <c r="D323" s="26"/>
      <c r="E323" s="18"/>
      <c r="F323" s="18"/>
      <c r="G323" s="20"/>
    </row>
    <row r="324" spans="2:7" x14ac:dyDescent="0.25">
      <c r="B324" s="13"/>
      <c r="C324" s="14"/>
      <c r="E324" s="14"/>
      <c r="F324" s="14"/>
      <c r="G324" s="16"/>
    </row>
    <row r="325" spans="2:7" x14ac:dyDescent="0.25">
      <c r="B325" s="17"/>
      <c r="C325" s="18"/>
      <c r="D325" s="26"/>
      <c r="E325" s="18"/>
      <c r="F325" s="18"/>
      <c r="G325" s="20"/>
    </row>
    <row r="326" spans="2:7" x14ac:dyDescent="0.25">
      <c r="B326" s="13"/>
      <c r="C326" s="14"/>
      <c r="E326" s="14"/>
      <c r="F326" s="14"/>
      <c r="G326" s="16"/>
    </row>
    <row r="327" spans="2:7" x14ac:dyDescent="0.25">
      <c r="B327" s="13"/>
      <c r="C327" s="14"/>
      <c r="E327" s="14"/>
      <c r="F327" s="14"/>
      <c r="G327" s="16"/>
    </row>
    <row r="328" spans="2:7" x14ac:dyDescent="0.25">
      <c r="B328" s="17"/>
      <c r="C328" s="18"/>
      <c r="D328" s="26"/>
      <c r="E328" s="18"/>
      <c r="F328" s="18"/>
      <c r="G328" s="20"/>
    </row>
    <row r="329" spans="2:7" x14ac:dyDescent="0.25">
      <c r="B329" s="13"/>
      <c r="C329" s="14"/>
      <c r="E329" s="14"/>
      <c r="F329" s="14"/>
      <c r="G329" s="16"/>
    </row>
    <row r="330" spans="2:7" x14ac:dyDescent="0.25">
      <c r="B330" s="17"/>
      <c r="C330" s="18"/>
      <c r="D330" s="26"/>
      <c r="E330" s="18"/>
      <c r="F330" s="18"/>
      <c r="G330" s="20"/>
    </row>
    <row r="331" spans="2:7" x14ac:dyDescent="0.25">
      <c r="B331" s="13"/>
      <c r="C331" s="14"/>
      <c r="E331" s="14"/>
      <c r="F331" s="14"/>
      <c r="G331" s="16"/>
    </row>
    <row r="332" spans="2:7" x14ac:dyDescent="0.25">
      <c r="B332" s="17"/>
      <c r="C332" s="18"/>
      <c r="D332" s="26"/>
      <c r="E332" s="18"/>
      <c r="F332" s="18"/>
      <c r="G332" s="20"/>
    </row>
    <row r="333" spans="2:7" x14ac:dyDescent="0.25">
      <c r="B333" s="13"/>
      <c r="C333" s="14"/>
      <c r="E333" s="14"/>
      <c r="F333" s="14"/>
      <c r="G333" s="16"/>
    </row>
    <row r="334" spans="2:7" x14ac:dyDescent="0.25">
      <c r="B334" s="17"/>
      <c r="C334" s="18"/>
      <c r="D334" s="26"/>
      <c r="E334" s="18"/>
      <c r="F334" s="18"/>
      <c r="G334" s="20"/>
    </row>
    <row r="335" spans="2:7" x14ac:dyDescent="0.25">
      <c r="B335" s="13"/>
      <c r="C335" s="14"/>
      <c r="E335" s="14"/>
      <c r="F335" s="14"/>
      <c r="G335" s="16"/>
    </row>
    <row r="336" spans="2:7" x14ac:dyDescent="0.25">
      <c r="B336" s="17"/>
      <c r="C336" s="18"/>
      <c r="D336" s="26"/>
      <c r="E336" s="18"/>
      <c r="F336" s="18"/>
      <c r="G336" s="20"/>
    </row>
    <row r="337" spans="2:7" x14ac:dyDescent="0.25">
      <c r="B337" s="13"/>
      <c r="C337" s="14"/>
      <c r="E337" s="14"/>
      <c r="F337" s="14"/>
      <c r="G337" s="16"/>
    </row>
    <row r="338" spans="2:7" x14ac:dyDescent="0.25">
      <c r="B338" s="17"/>
      <c r="C338" s="18"/>
      <c r="D338" s="26"/>
      <c r="E338" s="18"/>
      <c r="F338" s="18"/>
      <c r="G338" s="20"/>
    </row>
    <row r="339" spans="2:7" x14ac:dyDescent="0.25">
      <c r="B339" s="13"/>
      <c r="C339" s="14"/>
      <c r="E339" s="14"/>
      <c r="F339" s="14"/>
      <c r="G339" s="16"/>
    </row>
    <row r="340" spans="2:7" x14ac:dyDescent="0.25">
      <c r="B340" s="17"/>
      <c r="C340" s="18"/>
      <c r="D340" s="26"/>
      <c r="E340" s="18"/>
      <c r="F340" s="18"/>
      <c r="G340" s="20"/>
    </row>
    <row r="341" spans="2:7" x14ac:dyDescent="0.25">
      <c r="B341" s="13"/>
      <c r="C341" s="14"/>
      <c r="E341" s="14"/>
      <c r="F341" s="14"/>
      <c r="G341" s="16"/>
    </row>
    <row r="342" spans="2:7" x14ac:dyDescent="0.25">
      <c r="B342" s="17"/>
      <c r="C342" s="18"/>
      <c r="D342" s="26"/>
      <c r="E342" s="18"/>
      <c r="F342" s="18"/>
      <c r="G342" s="20"/>
    </row>
    <row r="343" spans="2:7" x14ac:dyDescent="0.25">
      <c r="B343" s="13"/>
      <c r="C343" s="14"/>
      <c r="E343" s="14"/>
      <c r="F343" s="14"/>
      <c r="G343" s="16"/>
    </row>
    <row r="344" spans="2:7" x14ac:dyDescent="0.25">
      <c r="B344" s="17"/>
      <c r="C344" s="18"/>
      <c r="D344" s="26"/>
      <c r="E344" s="18"/>
      <c r="F344" s="18"/>
      <c r="G344" s="20"/>
    </row>
    <row r="345" spans="2:7" x14ac:dyDescent="0.25">
      <c r="B345" s="13"/>
      <c r="C345" s="14"/>
      <c r="E345" s="14"/>
      <c r="F345" s="14"/>
      <c r="G345" s="16"/>
    </row>
    <row r="346" spans="2:7" x14ac:dyDescent="0.25">
      <c r="B346" s="17"/>
      <c r="C346" s="18"/>
      <c r="D346" s="26"/>
      <c r="E346" s="18"/>
      <c r="F346" s="18"/>
      <c r="G346" s="20"/>
    </row>
    <row r="347" spans="2:7" x14ac:dyDescent="0.25">
      <c r="B347" s="13"/>
      <c r="C347" s="14"/>
      <c r="E347" s="14"/>
      <c r="F347" s="14"/>
      <c r="G347" s="16"/>
    </row>
    <row r="348" spans="2:7" x14ac:dyDescent="0.25">
      <c r="B348" s="17"/>
      <c r="C348" s="18"/>
      <c r="D348" s="26"/>
      <c r="E348" s="18"/>
      <c r="F348" s="18"/>
      <c r="G348" s="20"/>
    </row>
    <row r="349" spans="2:7" x14ac:dyDescent="0.25">
      <c r="B349" s="13"/>
      <c r="C349" s="14"/>
      <c r="E349" s="14"/>
      <c r="F349" s="14"/>
      <c r="G349" s="16"/>
    </row>
    <row r="350" spans="2:7" x14ac:dyDescent="0.25">
      <c r="B350" s="17"/>
      <c r="C350" s="18"/>
      <c r="D350" s="26"/>
      <c r="E350" s="18"/>
      <c r="F350" s="18"/>
      <c r="G350" s="20"/>
    </row>
    <row r="351" spans="2:7" x14ac:dyDescent="0.25">
      <c r="B351" s="13"/>
      <c r="C351" s="14"/>
      <c r="E351" s="14"/>
      <c r="F351" s="14"/>
      <c r="G351" s="16"/>
    </row>
    <row r="352" spans="2:7" x14ac:dyDescent="0.25">
      <c r="B352" s="17"/>
      <c r="C352" s="18"/>
      <c r="D352" s="26"/>
      <c r="E352" s="18"/>
      <c r="F352" s="18"/>
      <c r="G352" s="20"/>
    </row>
    <row r="353" spans="2:7" x14ac:dyDescent="0.25">
      <c r="B353" s="17"/>
      <c r="C353" s="18"/>
      <c r="D353" s="19"/>
      <c r="E353" s="18"/>
      <c r="F353" s="18"/>
      <c r="G353" s="20"/>
    </row>
    <row r="354" spans="2:7" ht="15" x14ac:dyDescent="0.25">
      <c r="B354" s="1"/>
      <c r="C354"/>
      <c r="D354"/>
      <c r="E354" s="28"/>
      <c r="F354" s="28"/>
      <c r="G354" s="28"/>
    </row>
    <row r="355" spans="2:7" ht="15" x14ac:dyDescent="0.25">
      <c r="B355" s="1"/>
      <c r="C355"/>
      <c r="D355"/>
      <c r="E355" s="28"/>
      <c r="F355" s="28"/>
      <c r="G355" s="28"/>
    </row>
    <row r="356" spans="2:7" ht="15" x14ac:dyDescent="0.25">
      <c r="B356" s="1"/>
      <c r="C356"/>
      <c r="D356"/>
      <c r="E356" s="28"/>
      <c r="F356" s="28"/>
      <c r="G356" s="28"/>
    </row>
    <row r="357" spans="2:7" ht="15" x14ac:dyDescent="0.25">
      <c r="B357" s="1"/>
      <c r="C357"/>
      <c r="D357"/>
      <c r="E357" s="28"/>
      <c r="F357" s="28"/>
      <c r="G357" s="28"/>
    </row>
    <row r="358" spans="2:7" ht="15" x14ac:dyDescent="0.25">
      <c r="B358" s="1"/>
      <c r="C358"/>
      <c r="D358"/>
      <c r="E358" s="28"/>
      <c r="F358" s="28"/>
      <c r="G358" s="28"/>
    </row>
    <row r="359" spans="2:7" ht="15" x14ac:dyDescent="0.25">
      <c r="B359" s="1"/>
      <c r="C359"/>
      <c r="D359"/>
      <c r="E359" s="28"/>
      <c r="F359" s="28"/>
      <c r="G359" s="28"/>
    </row>
    <row r="360" spans="2:7" ht="15" x14ac:dyDescent="0.25">
      <c r="B360" s="1"/>
      <c r="C360"/>
      <c r="D360"/>
      <c r="E360" s="28"/>
      <c r="F360" s="28"/>
      <c r="G360" s="28"/>
    </row>
    <row r="361" spans="2:7" ht="15" x14ac:dyDescent="0.25">
      <c r="B361" s="1"/>
      <c r="C361"/>
      <c r="D361"/>
      <c r="E361" s="28"/>
      <c r="F361" s="28"/>
      <c r="G361" s="28"/>
    </row>
    <row r="362" spans="2:7" ht="15" x14ac:dyDescent="0.25">
      <c r="B362" s="1"/>
      <c r="C362"/>
      <c r="D362"/>
      <c r="E362" s="28"/>
      <c r="F362" s="28"/>
      <c r="G362" s="28"/>
    </row>
    <row r="363" spans="2:7" ht="15" x14ac:dyDescent="0.25">
      <c r="B363" s="1"/>
      <c r="C363"/>
      <c r="D363"/>
      <c r="E363" s="28"/>
      <c r="F363" s="28"/>
      <c r="G363" s="28"/>
    </row>
    <row r="364" spans="2:7" ht="15" x14ac:dyDescent="0.25">
      <c r="B364" s="1"/>
      <c r="C364"/>
      <c r="D364"/>
      <c r="E364" s="28"/>
      <c r="F364" s="28"/>
      <c r="G364" s="28"/>
    </row>
    <row r="365" spans="2:7" ht="15" x14ac:dyDescent="0.25">
      <c r="B365" s="1"/>
      <c r="C365"/>
      <c r="D365"/>
      <c r="E365" s="28"/>
      <c r="F365" s="28"/>
      <c r="G365" s="28"/>
    </row>
    <row r="366" spans="2:7" ht="15" x14ac:dyDescent="0.25">
      <c r="B366" s="1"/>
      <c r="C366"/>
      <c r="D366"/>
      <c r="E366" s="28"/>
      <c r="F366" s="28"/>
      <c r="G366" s="28"/>
    </row>
    <row r="367" spans="2:7" ht="15" x14ac:dyDescent="0.25">
      <c r="B367" s="1"/>
      <c r="C367"/>
      <c r="D367"/>
      <c r="E367" s="28"/>
      <c r="F367" s="28"/>
      <c r="G367" s="28"/>
    </row>
    <row r="368" spans="2:7" ht="15" x14ac:dyDescent="0.25">
      <c r="B368" s="1"/>
      <c r="C368"/>
      <c r="D368"/>
      <c r="E368" s="28"/>
      <c r="F368" s="28"/>
      <c r="G368" s="28"/>
    </row>
    <row r="369" spans="2:7" ht="15" x14ac:dyDescent="0.25">
      <c r="B369" s="1"/>
      <c r="C369"/>
      <c r="D369"/>
      <c r="E369" s="28"/>
      <c r="F369" s="28"/>
      <c r="G369" s="28"/>
    </row>
    <row r="370" spans="2:7" ht="15" x14ac:dyDescent="0.25">
      <c r="B370" s="1"/>
      <c r="C370"/>
      <c r="D370"/>
      <c r="E370" s="28"/>
      <c r="F370" s="28"/>
      <c r="G370" s="28"/>
    </row>
    <row r="371" spans="2:7" ht="15" x14ac:dyDescent="0.25">
      <c r="B371" s="1"/>
      <c r="C371"/>
      <c r="D371"/>
      <c r="E371" s="28"/>
      <c r="F371" s="28"/>
      <c r="G371" s="28"/>
    </row>
    <row r="372" spans="2:7" ht="15" x14ac:dyDescent="0.25">
      <c r="B372" s="1"/>
      <c r="C372"/>
      <c r="D372"/>
      <c r="E372" s="28"/>
      <c r="F372" s="28"/>
      <c r="G372" s="28"/>
    </row>
    <row r="373" spans="2:7" ht="15" x14ac:dyDescent="0.25">
      <c r="B373" s="1"/>
      <c r="C373"/>
      <c r="D373"/>
      <c r="E373" s="28"/>
      <c r="F373" s="28"/>
      <c r="G373" s="28"/>
    </row>
  </sheetData>
  <pageMargins left="0.7" right="0.7" top="0.75" bottom="0.75" header="0.3" footer="0.3"/>
  <ignoredErrors>
    <ignoredError sqref="B3:G280" numberStoredAsText="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3C783-A6C3-489A-B537-2DEEB36B8B0D}">
  <dimension ref="B1:H242"/>
  <sheetViews>
    <sheetView workbookViewId="0">
      <selection activeCell="H1" sqref="H1:H1048576"/>
    </sheetView>
  </sheetViews>
  <sheetFormatPr defaultRowHeight="15.75" x14ac:dyDescent="0.25"/>
  <cols>
    <col min="2" max="2" width="14.28515625" style="27"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38" bestFit="1" customWidth="1"/>
  </cols>
  <sheetData>
    <row r="1" spans="2:8" x14ac:dyDescent="0.25">
      <c r="D1" s="11"/>
    </row>
    <row r="2" spans="2:8" x14ac:dyDescent="0.25">
      <c r="B2" s="30" t="s">
        <v>0</v>
      </c>
      <c r="C2" s="29" t="s">
        <v>1</v>
      </c>
      <c r="D2" s="29" t="s">
        <v>2</v>
      </c>
      <c r="E2" s="30" t="s">
        <v>1184</v>
      </c>
      <c r="F2" s="30" t="s">
        <v>3</v>
      </c>
      <c r="G2" s="30" t="s">
        <v>4</v>
      </c>
      <c r="H2" s="39" t="s">
        <v>1183</v>
      </c>
    </row>
    <row r="3" spans="2:8" x14ac:dyDescent="0.25">
      <c r="B3" s="27" t="s">
        <v>5</v>
      </c>
      <c r="C3" s="10" t="s">
        <v>462</v>
      </c>
      <c r="D3" s="10" t="s">
        <v>408</v>
      </c>
      <c r="E3" s="27" t="s">
        <v>25</v>
      </c>
      <c r="F3" s="27" t="s">
        <v>94</v>
      </c>
      <c r="G3" s="27" t="s">
        <v>71</v>
      </c>
      <c r="H3" s="40">
        <f ca="1">Tabel3[[#This Row],[KEHADIRAN]]/100</f>
        <v>0.97</v>
      </c>
    </row>
    <row r="4" spans="2:8" x14ac:dyDescent="0.25">
      <c r="B4" s="27" t="s">
        <v>8</v>
      </c>
      <c r="C4" s="10" t="s">
        <v>522</v>
      </c>
      <c r="D4" s="10" t="s">
        <v>523</v>
      </c>
      <c r="E4" s="27" t="s">
        <v>31</v>
      </c>
      <c r="F4" s="27" t="s">
        <v>70</v>
      </c>
      <c r="G4" s="27" t="s">
        <v>97</v>
      </c>
      <c r="H4" s="40">
        <f ca="1">Tabel3[[#This Row],[KEHADIRAN]]/100</f>
        <v>0.98</v>
      </c>
    </row>
    <row r="5" spans="2:8" x14ac:dyDescent="0.25">
      <c r="B5" s="27" t="s">
        <v>10</v>
      </c>
      <c r="C5" s="10" t="s">
        <v>537</v>
      </c>
      <c r="D5" s="10" t="s">
        <v>538</v>
      </c>
      <c r="E5" s="27" t="s">
        <v>31</v>
      </c>
      <c r="F5" s="27" t="s">
        <v>204</v>
      </c>
      <c r="G5" s="27" t="s">
        <v>29</v>
      </c>
      <c r="H5" s="40">
        <f ca="1">Tabel3[[#This Row],[KEHADIRAN]]/100</f>
        <v>0.95</v>
      </c>
    </row>
    <row r="6" spans="2:8" x14ac:dyDescent="0.25">
      <c r="B6" s="27" t="s">
        <v>12</v>
      </c>
      <c r="C6" s="10" t="s">
        <v>556</v>
      </c>
      <c r="D6" s="10" t="s">
        <v>557</v>
      </c>
      <c r="E6" s="27" t="s">
        <v>319</v>
      </c>
      <c r="F6" s="27" t="s">
        <v>7</v>
      </c>
      <c r="G6" s="27" t="s">
        <v>91</v>
      </c>
      <c r="H6" s="40">
        <v>0</v>
      </c>
    </row>
    <row r="7" spans="2:8" x14ac:dyDescent="0.25">
      <c r="B7" s="27" t="s">
        <v>14</v>
      </c>
      <c r="C7" s="10" t="s">
        <v>558</v>
      </c>
      <c r="D7" s="10" t="s">
        <v>559</v>
      </c>
      <c r="E7" s="27" t="s">
        <v>31</v>
      </c>
      <c r="F7" s="27" t="s">
        <v>39</v>
      </c>
      <c r="G7" s="27" t="s">
        <v>560</v>
      </c>
      <c r="H7" s="40">
        <f ca="1">Tabel3[[#This Row],[KEHADIRAN]]/100</f>
        <v>0.92</v>
      </c>
    </row>
    <row r="8" spans="2:8" x14ac:dyDescent="0.25">
      <c r="B8" s="27" t="s">
        <v>16</v>
      </c>
      <c r="C8" s="10" t="s">
        <v>565</v>
      </c>
      <c r="D8" s="10" t="s">
        <v>566</v>
      </c>
      <c r="E8" s="27" t="s">
        <v>25</v>
      </c>
      <c r="F8" s="27" t="s">
        <v>219</v>
      </c>
      <c r="G8" s="27" t="s">
        <v>139</v>
      </c>
      <c r="H8" s="40">
        <f ca="1">Tabel3[[#This Row],[KEHADIRAN]]/100</f>
        <v>0.91</v>
      </c>
    </row>
    <row r="9" spans="2:8" x14ac:dyDescent="0.25">
      <c r="B9" s="27" t="s">
        <v>18</v>
      </c>
      <c r="C9" s="10" t="s">
        <v>567</v>
      </c>
      <c r="D9" s="10" t="s">
        <v>568</v>
      </c>
      <c r="E9" s="27" t="s">
        <v>31</v>
      </c>
      <c r="F9" s="27" t="s">
        <v>32</v>
      </c>
      <c r="G9" s="27" t="s">
        <v>158</v>
      </c>
      <c r="H9" s="40">
        <f ca="1">Tabel3[[#This Row],[KEHADIRAN]]/100</f>
        <v>0.98</v>
      </c>
    </row>
    <row r="10" spans="2:8" x14ac:dyDescent="0.25">
      <c r="B10" s="27" t="s">
        <v>21</v>
      </c>
      <c r="C10" s="10" t="s">
        <v>577</v>
      </c>
      <c r="D10" s="10" t="s">
        <v>578</v>
      </c>
      <c r="E10" s="27" t="s">
        <v>31</v>
      </c>
      <c r="F10" s="27" t="s">
        <v>51</v>
      </c>
      <c r="G10" s="27" t="s">
        <v>217</v>
      </c>
      <c r="H10" s="40">
        <f ca="1">Tabel3[[#This Row],[KEHADIRAN]]/100</f>
        <v>0.95</v>
      </c>
    </row>
    <row r="11" spans="2:8" x14ac:dyDescent="0.25">
      <c r="B11" s="27" t="s">
        <v>24</v>
      </c>
      <c r="C11" s="10" t="s">
        <v>579</v>
      </c>
      <c r="D11" s="10" t="s">
        <v>580</v>
      </c>
      <c r="E11" s="27" t="s">
        <v>25</v>
      </c>
      <c r="F11" s="27" t="s">
        <v>57</v>
      </c>
      <c r="G11" s="27" t="s">
        <v>151</v>
      </c>
      <c r="H11" s="40">
        <f ca="1">Tabel3[[#This Row],[KEHADIRAN]]/100</f>
        <v>0.96</v>
      </c>
    </row>
    <row r="12" spans="2:8" x14ac:dyDescent="0.25">
      <c r="B12" s="27" t="s">
        <v>27</v>
      </c>
      <c r="C12" s="10" t="s">
        <v>587</v>
      </c>
      <c r="D12" s="10" t="s">
        <v>588</v>
      </c>
      <c r="E12" s="27" t="s">
        <v>25</v>
      </c>
      <c r="F12" s="27" t="s">
        <v>42</v>
      </c>
      <c r="G12" s="27" t="s">
        <v>418</v>
      </c>
      <c r="H12" s="40">
        <f ca="1">Tabel3[[#This Row],[KEHADIRAN]]/100</f>
        <v>0.97</v>
      </c>
    </row>
    <row r="13" spans="2:8" x14ac:dyDescent="0.25">
      <c r="B13" s="27" t="s">
        <v>30</v>
      </c>
      <c r="C13" s="10" t="s">
        <v>599</v>
      </c>
      <c r="D13" s="10" t="s">
        <v>600</v>
      </c>
      <c r="E13" s="27" t="s">
        <v>25</v>
      </c>
      <c r="F13" s="27" t="s">
        <v>53</v>
      </c>
      <c r="G13" s="27" t="s">
        <v>67</v>
      </c>
      <c r="H13" s="40">
        <f ca="1">Tabel3[[#This Row],[KEHADIRAN]]/100</f>
        <v>0.83</v>
      </c>
    </row>
    <row r="14" spans="2:8" x14ac:dyDescent="0.25">
      <c r="B14" s="27" t="s">
        <v>33</v>
      </c>
      <c r="C14" s="10" t="s">
        <v>616</v>
      </c>
      <c r="D14" s="10" t="s">
        <v>617</v>
      </c>
      <c r="E14" s="27" t="s">
        <v>31</v>
      </c>
      <c r="F14" s="27" t="s">
        <v>88</v>
      </c>
      <c r="G14" s="27" t="s">
        <v>259</v>
      </c>
      <c r="H14" s="40">
        <f ca="1">Tabel3[[#This Row],[KEHADIRAN]]/100</f>
        <v>0.83</v>
      </c>
    </row>
    <row r="15" spans="2:8" x14ac:dyDescent="0.25">
      <c r="B15" s="27" t="s">
        <v>35</v>
      </c>
      <c r="C15" s="10" t="s">
        <v>618</v>
      </c>
      <c r="D15" s="10" t="s">
        <v>619</v>
      </c>
      <c r="E15" s="27" t="s">
        <v>319</v>
      </c>
      <c r="F15" s="27" t="s">
        <v>155</v>
      </c>
      <c r="G15" s="27" t="s">
        <v>339</v>
      </c>
      <c r="H15" s="40">
        <v>0</v>
      </c>
    </row>
    <row r="16" spans="2:8" x14ac:dyDescent="0.25">
      <c r="B16" s="27" t="s">
        <v>37</v>
      </c>
      <c r="C16" s="10" t="s">
        <v>622</v>
      </c>
      <c r="D16" s="10" t="s">
        <v>623</v>
      </c>
      <c r="E16" s="27" t="s">
        <v>25</v>
      </c>
      <c r="F16" s="27" t="s">
        <v>226</v>
      </c>
      <c r="G16" s="27" t="s">
        <v>160</v>
      </c>
      <c r="H16" s="40">
        <f ca="1">Tabel3[[#This Row],[KEHADIRAN]]/100</f>
        <v>0.87</v>
      </c>
    </row>
    <row r="17" spans="2:8" x14ac:dyDescent="0.25">
      <c r="B17" s="27" t="s">
        <v>38</v>
      </c>
      <c r="C17" s="10" t="s">
        <v>629</v>
      </c>
      <c r="D17" s="10" t="s">
        <v>630</v>
      </c>
      <c r="E17" s="27" t="s">
        <v>31</v>
      </c>
      <c r="F17" s="27" t="s">
        <v>28</v>
      </c>
      <c r="G17" s="27" t="s">
        <v>215</v>
      </c>
      <c r="H17" s="40">
        <f ca="1">Tabel3[[#This Row],[KEHADIRAN]]/100</f>
        <v>0.81</v>
      </c>
    </row>
    <row r="18" spans="2:8" x14ac:dyDescent="0.25">
      <c r="B18" s="27" t="s">
        <v>40</v>
      </c>
      <c r="C18" s="10" t="s">
        <v>634</v>
      </c>
      <c r="D18" s="10" t="s">
        <v>635</v>
      </c>
      <c r="E18" s="27" t="s">
        <v>319</v>
      </c>
      <c r="F18" s="27" t="s">
        <v>13</v>
      </c>
      <c r="G18" s="27" t="s">
        <v>193</v>
      </c>
      <c r="H18" s="40">
        <v>0</v>
      </c>
    </row>
    <row r="19" spans="2:8" x14ac:dyDescent="0.25">
      <c r="B19" s="27" t="s">
        <v>41</v>
      </c>
      <c r="C19" s="10" t="s">
        <v>638</v>
      </c>
      <c r="D19" s="10" t="s">
        <v>639</v>
      </c>
      <c r="E19" s="27" t="s">
        <v>31</v>
      </c>
      <c r="F19" s="27" t="s">
        <v>224</v>
      </c>
      <c r="G19" s="27" t="s">
        <v>54</v>
      </c>
      <c r="H19" s="40">
        <f ca="1">Tabel3[[#This Row],[KEHADIRAN]]/100</f>
        <v>0.84</v>
      </c>
    </row>
    <row r="20" spans="2:8" x14ac:dyDescent="0.25">
      <c r="B20" s="27" t="s">
        <v>43</v>
      </c>
      <c r="C20" s="10" t="s">
        <v>646</v>
      </c>
      <c r="D20" s="10" t="s">
        <v>647</v>
      </c>
      <c r="E20" s="27" t="s">
        <v>25</v>
      </c>
      <c r="F20" s="27" t="s">
        <v>219</v>
      </c>
      <c r="G20" s="27" t="s">
        <v>127</v>
      </c>
      <c r="H20" s="40">
        <f ca="1">Tabel3[[#This Row],[KEHADIRAN]]/100</f>
        <v>1</v>
      </c>
    </row>
    <row r="21" spans="2:8" x14ac:dyDescent="0.25">
      <c r="B21" s="27" t="s">
        <v>45</v>
      </c>
      <c r="C21" s="10" t="s">
        <v>665</v>
      </c>
      <c r="D21" s="10" t="s">
        <v>666</v>
      </c>
      <c r="E21" s="27" t="s">
        <v>25</v>
      </c>
      <c r="F21" s="27" t="s">
        <v>51</v>
      </c>
      <c r="G21" s="27" t="s">
        <v>89</v>
      </c>
      <c r="H21" s="40">
        <f ca="1">Tabel3[[#This Row],[KEHADIRAN]]/100</f>
        <v>0.98</v>
      </c>
    </row>
    <row r="22" spans="2:8" x14ac:dyDescent="0.25">
      <c r="B22" s="27" t="s">
        <v>48</v>
      </c>
      <c r="C22" s="10" t="s">
        <v>667</v>
      </c>
      <c r="D22" s="10" t="s">
        <v>668</v>
      </c>
      <c r="E22" s="27" t="s">
        <v>31</v>
      </c>
      <c r="F22" s="27" t="s">
        <v>26</v>
      </c>
      <c r="G22" s="27" t="s">
        <v>199</v>
      </c>
      <c r="H22" s="40">
        <f ca="1">Tabel3[[#This Row],[KEHADIRAN]]/100</f>
        <v>0.93</v>
      </c>
    </row>
    <row r="23" spans="2:8" x14ac:dyDescent="0.25">
      <c r="B23" s="27" t="s">
        <v>49</v>
      </c>
      <c r="C23" s="10" t="s">
        <v>680</v>
      </c>
      <c r="D23" s="10" t="s">
        <v>681</v>
      </c>
      <c r="E23" s="27" t="s">
        <v>25</v>
      </c>
      <c r="F23" s="27" t="s">
        <v>94</v>
      </c>
      <c r="G23" s="27" t="s">
        <v>303</v>
      </c>
      <c r="H23" s="40">
        <f ca="1">Tabel3[[#This Row],[KEHADIRAN]]/100</f>
        <v>0.91</v>
      </c>
    </row>
    <row r="24" spans="2:8" x14ac:dyDescent="0.25">
      <c r="B24" s="27" t="s">
        <v>50</v>
      </c>
      <c r="C24" s="10" t="s">
        <v>685</v>
      </c>
      <c r="D24" s="10" t="s">
        <v>686</v>
      </c>
      <c r="E24" s="27" t="s">
        <v>31</v>
      </c>
      <c r="F24" s="27" t="s">
        <v>39</v>
      </c>
      <c r="G24" s="27" t="s">
        <v>97</v>
      </c>
      <c r="H24" s="40">
        <f ca="1">Tabel3[[#This Row],[KEHADIRAN]]/100</f>
        <v>0.8</v>
      </c>
    </row>
    <row r="25" spans="2:8" x14ac:dyDescent="0.25">
      <c r="B25" s="27" t="s">
        <v>52</v>
      </c>
      <c r="C25" s="10" t="s">
        <v>699</v>
      </c>
      <c r="D25" s="10" t="s">
        <v>700</v>
      </c>
      <c r="E25" s="27" t="s">
        <v>31</v>
      </c>
      <c r="F25" s="27" t="s">
        <v>88</v>
      </c>
      <c r="G25" s="27" t="s">
        <v>158</v>
      </c>
      <c r="H25" s="40">
        <f ca="1">Tabel3[[#This Row],[KEHADIRAN]]/100</f>
        <v>0.89</v>
      </c>
    </row>
    <row r="26" spans="2:8" x14ac:dyDescent="0.25">
      <c r="B26" s="27" t="s">
        <v>55</v>
      </c>
      <c r="C26" s="10" t="s">
        <v>701</v>
      </c>
      <c r="D26" s="10" t="s">
        <v>702</v>
      </c>
      <c r="E26" s="27" t="s">
        <v>25</v>
      </c>
      <c r="F26" s="27" t="s">
        <v>88</v>
      </c>
      <c r="G26" s="27" t="s">
        <v>177</v>
      </c>
      <c r="H26" s="40">
        <f ca="1">Tabel3[[#This Row],[KEHADIRAN]]/100</f>
        <v>0.95</v>
      </c>
    </row>
    <row r="27" spans="2:8" x14ac:dyDescent="0.25">
      <c r="B27" s="27" t="s">
        <v>56</v>
      </c>
      <c r="C27" s="10" t="s">
        <v>709</v>
      </c>
      <c r="D27" s="10" t="s">
        <v>710</v>
      </c>
      <c r="E27" s="27" t="s">
        <v>25</v>
      </c>
      <c r="F27" s="27" t="s">
        <v>223</v>
      </c>
      <c r="G27" s="27" t="s">
        <v>83</v>
      </c>
      <c r="H27" s="40">
        <f ca="1">Tabel3[[#This Row],[KEHADIRAN]]/100</f>
        <v>0.95</v>
      </c>
    </row>
    <row r="28" spans="2:8" x14ac:dyDescent="0.25">
      <c r="B28" s="27" t="s">
        <v>47</v>
      </c>
      <c r="C28" s="10" t="s">
        <v>711</v>
      </c>
      <c r="D28" s="10" t="s">
        <v>712</v>
      </c>
      <c r="E28" s="27" t="s">
        <v>31</v>
      </c>
      <c r="F28" s="27" t="s">
        <v>20</v>
      </c>
      <c r="G28" s="27" t="s">
        <v>220</v>
      </c>
      <c r="H28" s="40">
        <f ca="1">Tabel3[[#This Row],[KEHADIRAN]]/100</f>
        <v>0.85</v>
      </c>
    </row>
    <row r="29" spans="2:8" x14ac:dyDescent="0.25">
      <c r="B29" s="27" t="s">
        <v>58</v>
      </c>
      <c r="C29" s="10" t="s">
        <v>713</v>
      </c>
      <c r="D29" s="10" t="s">
        <v>714</v>
      </c>
      <c r="E29" s="27" t="s">
        <v>25</v>
      </c>
      <c r="F29" s="27" t="s">
        <v>77</v>
      </c>
      <c r="G29" s="27" t="s">
        <v>269</v>
      </c>
      <c r="H29" s="40">
        <f ca="1">Tabel3[[#This Row],[KEHADIRAN]]/100</f>
        <v>0.88</v>
      </c>
    </row>
    <row r="30" spans="2:8" x14ac:dyDescent="0.25">
      <c r="B30" s="27" t="s">
        <v>59</v>
      </c>
      <c r="C30" s="10" t="s">
        <v>715</v>
      </c>
      <c r="D30" s="10" t="s">
        <v>716</v>
      </c>
      <c r="E30" s="27" t="s">
        <v>31</v>
      </c>
      <c r="F30" s="27" t="s">
        <v>238</v>
      </c>
      <c r="G30" s="27" t="s">
        <v>476</v>
      </c>
      <c r="H30" s="40">
        <f ca="1">Tabel3[[#This Row],[KEHADIRAN]]/100</f>
        <v>0.9</v>
      </c>
    </row>
    <row r="31" spans="2:8" x14ac:dyDescent="0.25">
      <c r="B31" s="27" t="s">
        <v>61</v>
      </c>
      <c r="C31" s="10" t="s">
        <v>717</v>
      </c>
      <c r="D31" s="10" t="s">
        <v>718</v>
      </c>
      <c r="E31" s="27" t="s">
        <v>25</v>
      </c>
      <c r="F31" s="27" t="s">
        <v>94</v>
      </c>
      <c r="G31" s="27" t="s">
        <v>410</v>
      </c>
      <c r="H31" s="40">
        <f ca="1">Tabel3[[#This Row],[KEHADIRAN]]/100</f>
        <v>0.95</v>
      </c>
    </row>
    <row r="32" spans="2:8" x14ac:dyDescent="0.25">
      <c r="B32" s="27" t="s">
        <v>63</v>
      </c>
      <c r="C32" s="10" t="s">
        <v>721</v>
      </c>
      <c r="D32" s="10" t="s">
        <v>722</v>
      </c>
      <c r="E32" s="27" t="s">
        <v>31</v>
      </c>
      <c r="F32" s="27" t="s">
        <v>39</v>
      </c>
      <c r="G32" s="27" t="s">
        <v>36</v>
      </c>
      <c r="H32" s="40">
        <f ca="1">Tabel3[[#This Row],[KEHADIRAN]]/100</f>
        <v>0.81</v>
      </c>
    </row>
    <row r="33" spans="2:8" x14ac:dyDescent="0.25">
      <c r="B33" s="27" t="s">
        <v>64</v>
      </c>
      <c r="C33" s="10" t="s">
        <v>725</v>
      </c>
      <c r="D33" s="10" t="s">
        <v>726</v>
      </c>
      <c r="E33" s="27" t="s">
        <v>31</v>
      </c>
      <c r="F33" s="27" t="s">
        <v>236</v>
      </c>
      <c r="G33" s="27" t="s">
        <v>303</v>
      </c>
      <c r="H33" s="40">
        <f ca="1">Tabel3[[#This Row],[KEHADIRAN]]/100</f>
        <v>0.87</v>
      </c>
    </row>
    <row r="34" spans="2:8" x14ac:dyDescent="0.25">
      <c r="B34" s="27" t="s">
        <v>65</v>
      </c>
      <c r="C34" s="10" t="s">
        <v>731</v>
      </c>
      <c r="D34" s="10" t="s">
        <v>732</v>
      </c>
      <c r="E34" s="27" t="s">
        <v>319</v>
      </c>
      <c r="F34" s="27" t="s">
        <v>135</v>
      </c>
      <c r="G34" s="27" t="s">
        <v>733</v>
      </c>
      <c r="H34" s="40">
        <v>0</v>
      </c>
    </row>
    <row r="35" spans="2:8" x14ac:dyDescent="0.25">
      <c r="B35" s="27" t="s">
        <v>66</v>
      </c>
      <c r="C35" s="10" t="s">
        <v>739</v>
      </c>
      <c r="D35" s="10" t="s">
        <v>740</v>
      </c>
      <c r="E35" s="27" t="s">
        <v>31</v>
      </c>
      <c r="F35" s="27" t="s">
        <v>77</v>
      </c>
      <c r="G35" s="27" t="s">
        <v>127</v>
      </c>
      <c r="H35" s="40">
        <f ca="1">Tabel3[[#This Row],[KEHADIRAN]]/100</f>
        <v>0.99</v>
      </c>
    </row>
    <row r="36" spans="2:8" x14ac:dyDescent="0.25">
      <c r="B36" s="27" t="s">
        <v>68</v>
      </c>
      <c r="C36" s="10" t="s">
        <v>741</v>
      </c>
      <c r="D36" s="10" t="s">
        <v>742</v>
      </c>
      <c r="E36" s="27" t="s">
        <v>25</v>
      </c>
      <c r="F36" s="27" t="s">
        <v>32</v>
      </c>
      <c r="G36" s="27" t="s">
        <v>132</v>
      </c>
      <c r="H36" s="40">
        <f ca="1">Tabel3[[#This Row],[KEHADIRAN]]/100</f>
        <v>0.9</v>
      </c>
    </row>
    <row r="37" spans="2:8" x14ac:dyDescent="0.25">
      <c r="B37" s="27" t="s">
        <v>69</v>
      </c>
      <c r="C37" s="10" t="s">
        <v>743</v>
      </c>
      <c r="D37" s="10" t="s">
        <v>744</v>
      </c>
      <c r="E37" s="27" t="s">
        <v>31</v>
      </c>
      <c r="F37" s="27" t="s">
        <v>223</v>
      </c>
      <c r="G37" s="27" t="s">
        <v>113</v>
      </c>
      <c r="H37" s="40">
        <f ca="1">Tabel3[[#This Row],[KEHADIRAN]]/100</f>
        <v>0.86</v>
      </c>
    </row>
    <row r="38" spans="2:8" x14ac:dyDescent="0.25">
      <c r="B38" s="27" t="s">
        <v>72</v>
      </c>
      <c r="C38" s="10" t="s">
        <v>745</v>
      </c>
      <c r="D38" s="10" t="s">
        <v>276</v>
      </c>
      <c r="E38" s="27" t="s">
        <v>31</v>
      </c>
      <c r="F38" s="27" t="s">
        <v>32</v>
      </c>
      <c r="G38" s="27" t="s">
        <v>169</v>
      </c>
      <c r="H38" s="40">
        <f ca="1">Tabel3[[#This Row],[KEHADIRAN]]/100</f>
        <v>0.93</v>
      </c>
    </row>
    <row r="39" spans="2:8" x14ac:dyDescent="0.25">
      <c r="B39" s="27" t="s">
        <v>73</v>
      </c>
      <c r="C39" s="10" t="s">
        <v>746</v>
      </c>
      <c r="D39" s="10" t="s">
        <v>747</v>
      </c>
      <c r="E39" s="27" t="s">
        <v>31</v>
      </c>
      <c r="F39" s="27" t="s">
        <v>26</v>
      </c>
      <c r="G39" s="27" t="s">
        <v>137</v>
      </c>
      <c r="H39" s="40">
        <f ca="1">Tabel3[[#This Row],[KEHADIRAN]]/100</f>
        <v>0.85</v>
      </c>
    </row>
    <row r="40" spans="2:8" x14ac:dyDescent="0.25">
      <c r="B40" s="27" t="s">
        <v>75</v>
      </c>
      <c r="C40" s="10" t="s">
        <v>748</v>
      </c>
      <c r="D40" s="10" t="s">
        <v>749</v>
      </c>
      <c r="E40" s="27" t="s">
        <v>25</v>
      </c>
      <c r="F40" s="27" t="s">
        <v>32</v>
      </c>
      <c r="G40" s="27" t="s">
        <v>403</v>
      </c>
      <c r="H40" s="40">
        <f ca="1">Tabel3[[#This Row],[KEHADIRAN]]/100</f>
        <v>0.91</v>
      </c>
    </row>
    <row r="41" spans="2:8" x14ac:dyDescent="0.25">
      <c r="B41" s="27" t="s">
        <v>76</v>
      </c>
      <c r="C41" s="10" t="s">
        <v>750</v>
      </c>
      <c r="D41" s="10" t="s">
        <v>751</v>
      </c>
      <c r="E41" s="27" t="s">
        <v>25</v>
      </c>
      <c r="F41" s="27" t="s">
        <v>53</v>
      </c>
      <c r="G41" s="27" t="s">
        <v>62</v>
      </c>
      <c r="H41" s="40">
        <f ca="1">Tabel3[[#This Row],[KEHADIRAN]]/100</f>
        <v>0.83</v>
      </c>
    </row>
    <row r="42" spans="2:8" x14ac:dyDescent="0.25">
      <c r="B42" s="27" t="s">
        <v>78</v>
      </c>
      <c r="C42" s="10" t="s">
        <v>752</v>
      </c>
      <c r="D42" s="10" t="s">
        <v>753</v>
      </c>
      <c r="E42" s="27" t="s">
        <v>25</v>
      </c>
      <c r="F42" s="27" t="s">
        <v>26</v>
      </c>
      <c r="G42" s="27" t="s">
        <v>111</v>
      </c>
      <c r="H42" s="40">
        <f ca="1">Tabel3[[#This Row],[KEHADIRAN]]/100</f>
        <v>0.85</v>
      </c>
    </row>
    <row r="43" spans="2:8" x14ac:dyDescent="0.25">
      <c r="B43" s="27" t="s">
        <v>79</v>
      </c>
      <c r="C43" s="10" t="s">
        <v>1181</v>
      </c>
      <c r="D43" s="10" t="s">
        <v>1182</v>
      </c>
      <c r="E43" s="27" t="s">
        <v>31</v>
      </c>
      <c r="F43" s="27" t="s">
        <v>32</v>
      </c>
      <c r="G43" s="27" t="s">
        <v>412</v>
      </c>
      <c r="H43" s="40">
        <f ca="1">Tabel3[[#This Row],[KEHADIRAN]]/100</f>
        <v>0.82</v>
      </c>
    </row>
    <row r="44" spans="2:8" x14ac:dyDescent="0.25">
      <c r="B44" s="27" t="s">
        <v>81</v>
      </c>
      <c r="C44" s="10" t="s">
        <v>757</v>
      </c>
      <c r="D44" s="10" t="s">
        <v>406</v>
      </c>
      <c r="E44" s="27" t="s">
        <v>31</v>
      </c>
      <c r="F44" s="27" t="s">
        <v>32</v>
      </c>
      <c r="G44" s="27" t="s">
        <v>416</v>
      </c>
      <c r="H44" s="40">
        <f ca="1">Tabel3[[#This Row],[KEHADIRAN]]/100</f>
        <v>0.8</v>
      </c>
    </row>
    <row r="45" spans="2:8" x14ac:dyDescent="0.25">
      <c r="B45" s="27" t="s">
        <v>82</v>
      </c>
      <c r="C45" s="10" t="s">
        <v>758</v>
      </c>
      <c r="D45" s="10" t="s">
        <v>759</v>
      </c>
      <c r="E45" s="27" t="s">
        <v>31</v>
      </c>
      <c r="F45" s="27" t="s">
        <v>223</v>
      </c>
      <c r="G45" s="27" t="s">
        <v>119</v>
      </c>
      <c r="H45" s="40">
        <f ca="1">Tabel3[[#This Row],[KEHADIRAN]]/100</f>
        <v>0.89</v>
      </c>
    </row>
    <row r="46" spans="2:8" x14ac:dyDescent="0.25">
      <c r="B46" s="27" t="s">
        <v>17</v>
      </c>
      <c r="C46" s="10" t="s">
        <v>760</v>
      </c>
      <c r="D46" s="10" t="s">
        <v>761</v>
      </c>
      <c r="E46" s="27" t="s">
        <v>25</v>
      </c>
      <c r="F46" s="27" t="s">
        <v>32</v>
      </c>
      <c r="G46" s="27" t="s">
        <v>416</v>
      </c>
      <c r="H46" s="40">
        <f ca="1">Tabel3[[#This Row],[KEHADIRAN]]/100</f>
        <v>0.97</v>
      </c>
    </row>
    <row r="47" spans="2:8" x14ac:dyDescent="0.25">
      <c r="B47" s="27" t="s">
        <v>84</v>
      </c>
      <c r="C47" s="10" t="s">
        <v>762</v>
      </c>
      <c r="D47" s="10" t="s">
        <v>763</v>
      </c>
      <c r="E47" s="27" t="s">
        <v>25</v>
      </c>
      <c r="F47" s="27" t="s">
        <v>32</v>
      </c>
      <c r="G47" s="27" t="s">
        <v>271</v>
      </c>
      <c r="H47" s="40">
        <f ca="1">Tabel3[[#This Row],[KEHADIRAN]]/100</f>
        <v>0.84</v>
      </c>
    </row>
    <row r="48" spans="2:8" x14ac:dyDescent="0.25">
      <c r="B48" s="27" t="s">
        <v>86</v>
      </c>
      <c r="C48" s="10" t="s">
        <v>764</v>
      </c>
      <c r="D48" s="10" t="s">
        <v>765</v>
      </c>
      <c r="E48" s="27" t="s">
        <v>31</v>
      </c>
      <c r="F48" s="27" t="s">
        <v>219</v>
      </c>
      <c r="G48" s="27" t="s">
        <v>121</v>
      </c>
      <c r="H48" s="40">
        <f ca="1">Tabel3[[#This Row],[KEHADIRAN]]/100</f>
        <v>0.96</v>
      </c>
    </row>
    <row r="49" spans="2:8" x14ac:dyDescent="0.25">
      <c r="B49" s="27" t="s">
        <v>87</v>
      </c>
      <c r="C49" s="10" t="s">
        <v>766</v>
      </c>
      <c r="D49" s="10" t="s">
        <v>767</v>
      </c>
      <c r="E49" s="27" t="s">
        <v>25</v>
      </c>
      <c r="F49" s="27" t="s">
        <v>26</v>
      </c>
      <c r="G49" s="27" t="s">
        <v>151</v>
      </c>
      <c r="H49" s="40">
        <f ca="1">Tabel3[[#This Row],[KEHADIRAN]]/100</f>
        <v>0.88</v>
      </c>
    </row>
    <row r="50" spans="2:8" x14ac:dyDescent="0.25">
      <c r="B50" s="27" t="s">
        <v>90</v>
      </c>
      <c r="C50" s="10" t="s">
        <v>768</v>
      </c>
      <c r="D50" s="10" t="s">
        <v>769</v>
      </c>
      <c r="E50" s="27" t="s">
        <v>25</v>
      </c>
      <c r="F50" s="27" t="s">
        <v>26</v>
      </c>
      <c r="G50" s="27" t="s">
        <v>139</v>
      </c>
      <c r="H50" s="40">
        <f ca="1">Tabel3[[#This Row],[KEHADIRAN]]/100</f>
        <v>0.93</v>
      </c>
    </row>
    <row r="51" spans="2:8" x14ac:dyDescent="0.25">
      <c r="B51" s="27" t="s">
        <v>92</v>
      </c>
      <c r="C51" s="10" t="s">
        <v>770</v>
      </c>
      <c r="D51" s="10" t="s">
        <v>771</v>
      </c>
      <c r="E51" s="27" t="s">
        <v>25</v>
      </c>
      <c r="F51" s="27" t="s">
        <v>32</v>
      </c>
      <c r="G51" s="27" t="s">
        <v>130</v>
      </c>
      <c r="H51" s="40">
        <f ca="1">Tabel3[[#This Row],[KEHADIRAN]]/100</f>
        <v>0.9</v>
      </c>
    </row>
    <row r="52" spans="2:8" x14ac:dyDescent="0.25">
      <c r="B52" s="27" t="s">
        <v>93</v>
      </c>
      <c r="C52" s="10" t="s">
        <v>772</v>
      </c>
      <c r="D52" s="10" t="s">
        <v>773</v>
      </c>
      <c r="E52" s="27" t="s">
        <v>25</v>
      </c>
      <c r="F52" s="27" t="s">
        <v>53</v>
      </c>
      <c r="G52" s="27" t="s">
        <v>143</v>
      </c>
      <c r="H52" s="40">
        <f ca="1">Tabel3[[#This Row],[KEHADIRAN]]/100</f>
        <v>0.81</v>
      </c>
    </row>
    <row r="53" spans="2:8" x14ac:dyDescent="0.25">
      <c r="B53" s="27" t="s">
        <v>96</v>
      </c>
      <c r="C53" s="10" t="s">
        <v>774</v>
      </c>
      <c r="D53" s="10" t="s">
        <v>775</v>
      </c>
      <c r="E53" s="27" t="s">
        <v>31</v>
      </c>
      <c r="F53" s="27" t="s">
        <v>26</v>
      </c>
      <c r="G53" s="27" t="s">
        <v>248</v>
      </c>
      <c r="H53" s="40">
        <f ca="1">Tabel3[[#This Row],[KEHADIRAN]]/100</f>
        <v>0.88</v>
      </c>
    </row>
    <row r="54" spans="2:8" x14ac:dyDescent="0.25">
      <c r="B54" s="27" t="s">
        <v>98</v>
      </c>
      <c r="C54" s="10" t="s">
        <v>776</v>
      </c>
      <c r="D54" s="10" t="s">
        <v>777</v>
      </c>
      <c r="E54" s="27" t="s">
        <v>25</v>
      </c>
      <c r="F54" s="27" t="s">
        <v>32</v>
      </c>
      <c r="G54" s="27" t="s">
        <v>403</v>
      </c>
      <c r="H54" s="40">
        <f ca="1">Tabel3[[#This Row],[KEHADIRAN]]/100</f>
        <v>0.86</v>
      </c>
    </row>
    <row r="55" spans="2:8" x14ac:dyDescent="0.25">
      <c r="B55" s="27" t="s">
        <v>99</v>
      </c>
      <c r="C55" s="10" t="s">
        <v>778</v>
      </c>
      <c r="D55" s="10" t="s">
        <v>779</v>
      </c>
      <c r="E55" s="27" t="s">
        <v>31</v>
      </c>
      <c r="F55" s="27" t="s">
        <v>26</v>
      </c>
      <c r="G55" s="27" t="s">
        <v>141</v>
      </c>
      <c r="H55" s="40">
        <f ca="1">Tabel3[[#This Row],[KEHADIRAN]]/100</f>
        <v>0.97</v>
      </c>
    </row>
    <row r="56" spans="2:8" x14ac:dyDescent="0.25">
      <c r="B56" s="27" t="s">
        <v>100</v>
      </c>
      <c r="C56" s="10" t="s">
        <v>780</v>
      </c>
      <c r="D56" s="10" t="s">
        <v>781</v>
      </c>
      <c r="E56" s="27" t="s">
        <v>31</v>
      </c>
      <c r="F56" s="27" t="s">
        <v>26</v>
      </c>
      <c r="G56" s="27" t="s">
        <v>169</v>
      </c>
      <c r="H56" s="40">
        <f ca="1">Tabel3[[#This Row],[KEHADIRAN]]/100</f>
        <v>0.8</v>
      </c>
    </row>
    <row r="57" spans="2:8" x14ac:dyDescent="0.25">
      <c r="B57" s="27" t="s">
        <v>101</v>
      </c>
      <c r="C57" s="10" t="s">
        <v>782</v>
      </c>
      <c r="D57" s="10" t="s">
        <v>783</v>
      </c>
      <c r="E57" s="27" t="s">
        <v>25</v>
      </c>
      <c r="F57" s="27" t="s">
        <v>32</v>
      </c>
      <c r="G57" s="27" t="s">
        <v>122</v>
      </c>
      <c r="H57" s="40">
        <f ca="1">Tabel3[[#This Row],[KEHADIRAN]]/100</f>
        <v>0.86</v>
      </c>
    </row>
    <row r="58" spans="2:8" x14ac:dyDescent="0.25">
      <c r="B58" s="27" t="s">
        <v>103</v>
      </c>
      <c r="C58" s="10" t="s">
        <v>784</v>
      </c>
      <c r="D58" s="10" t="s">
        <v>785</v>
      </c>
      <c r="E58" s="27" t="s">
        <v>25</v>
      </c>
      <c r="F58" s="27" t="s">
        <v>26</v>
      </c>
      <c r="G58" s="27" t="s">
        <v>130</v>
      </c>
      <c r="H58" s="40">
        <f ca="1">Tabel3[[#This Row],[KEHADIRAN]]/100</f>
        <v>0.96</v>
      </c>
    </row>
    <row r="59" spans="2:8" x14ac:dyDescent="0.25">
      <c r="B59" s="27" t="s">
        <v>104</v>
      </c>
      <c r="C59" s="10" t="s">
        <v>786</v>
      </c>
      <c r="D59" s="10" t="s">
        <v>787</v>
      </c>
      <c r="E59" s="27" t="s">
        <v>31</v>
      </c>
      <c r="F59" s="27" t="s">
        <v>32</v>
      </c>
      <c r="G59" s="27" t="s">
        <v>143</v>
      </c>
      <c r="H59" s="40">
        <f ca="1">Tabel3[[#This Row],[KEHADIRAN]]/100</f>
        <v>0.85</v>
      </c>
    </row>
    <row r="60" spans="2:8" x14ac:dyDescent="0.25">
      <c r="B60" s="27" t="s">
        <v>105</v>
      </c>
      <c r="C60" s="10" t="s">
        <v>788</v>
      </c>
      <c r="D60" s="10" t="s">
        <v>789</v>
      </c>
      <c r="E60" s="27" t="s">
        <v>31</v>
      </c>
      <c r="F60" s="27" t="s">
        <v>26</v>
      </c>
      <c r="G60" s="27" t="s">
        <v>132</v>
      </c>
      <c r="H60" s="40">
        <f ca="1">Tabel3[[#This Row],[KEHADIRAN]]/100</f>
        <v>0.86</v>
      </c>
    </row>
    <row r="61" spans="2:8" x14ac:dyDescent="0.25">
      <c r="B61" s="27" t="s">
        <v>106</v>
      </c>
      <c r="C61" s="10" t="s">
        <v>790</v>
      </c>
      <c r="D61" s="10" t="s">
        <v>262</v>
      </c>
      <c r="E61" s="27" t="s">
        <v>25</v>
      </c>
      <c r="F61" s="27" t="s">
        <v>26</v>
      </c>
      <c r="G61" s="27" t="s">
        <v>416</v>
      </c>
      <c r="H61" s="40">
        <f ca="1">Tabel3[[#This Row],[KEHADIRAN]]/100</f>
        <v>0.94</v>
      </c>
    </row>
    <row r="62" spans="2:8" x14ac:dyDescent="0.25">
      <c r="B62" s="27" t="s">
        <v>107</v>
      </c>
      <c r="C62" s="10" t="s">
        <v>791</v>
      </c>
      <c r="D62" s="10" t="s">
        <v>792</v>
      </c>
      <c r="E62" s="27" t="s">
        <v>25</v>
      </c>
      <c r="F62" s="27" t="s">
        <v>32</v>
      </c>
      <c r="G62" s="27" t="s">
        <v>62</v>
      </c>
      <c r="H62" s="40">
        <f ca="1">Tabel3[[#This Row],[KEHADIRAN]]/100</f>
        <v>0.98</v>
      </c>
    </row>
    <row r="63" spans="2:8" x14ac:dyDescent="0.25">
      <c r="B63" s="27" t="s">
        <v>108</v>
      </c>
      <c r="C63" s="10" t="s">
        <v>793</v>
      </c>
      <c r="D63" s="10" t="s">
        <v>794</v>
      </c>
      <c r="E63" s="27" t="s">
        <v>31</v>
      </c>
      <c r="F63" s="27" t="s">
        <v>26</v>
      </c>
      <c r="G63" s="27" t="s">
        <v>119</v>
      </c>
      <c r="H63" s="40">
        <f ca="1">Tabel3[[#This Row],[KEHADIRAN]]/100</f>
        <v>0.94</v>
      </c>
    </row>
    <row r="64" spans="2:8" x14ac:dyDescent="0.25">
      <c r="B64" s="27" t="s">
        <v>109</v>
      </c>
      <c r="C64" s="10" t="s">
        <v>795</v>
      </c>
      <c r="D64" s="10" t="s">
        <v>796</v>
      </c>
      <c r="E64" s="27" t="s">
        <v>25</v>
      </c>
      <c r="F64" s="27" t="s">
        <v>32</v>
      </c>
      <c r="G64" s="27" t="s">
        <v>412</v>
      </c>
      <c r="H64" s="40">
        <f ca="1">Tabel3[[#This Row],[KEHADIRAN]]/100</f>
        <v>0.86</v>
      </c>
    </row>
    <row r="65" spans="2:8" x14ac:dyDescent="0.25">
      <c r="B65" s="27" t="s">
        <v>110</v>
      </c>
      <c r="C65" s="10" t="s">
        <v>797</v>
      </c>
      <c r="D65" s="10" t="s">
        <v>798</v>
      </c>
      <c r="E65" s="27" t="s">
        <v>25</v>
      </c>
      <c r="F65" s="27" t="s">
        <v>51</v>
      </c>
      <c r="G65" s="27" t="s">
        <v>342</v>
      </c>
      <c r="H65" s="40">
        <f ca="1">Tabel3[[#This Row],[KEHADIRAN]]/100</f>
        <v>0.81</v>
      </c>
    </row>
    <row r="66" spans="2:8" x14ac:dyDescent="0.25">
      <c r="B66" s="27" t="s">
        <v>112</v>
      </c>
      <c r="C66" s="10" t="s">
        <v>799</v>
      </c>
      <c r="D66" s="10" t="s">
        <v>800</v>
      </c>
      <c r="E66" s="27" t="s">
        <v>25</v>
      </c>
      <c r="F66" s="27" t="s">
        <v>32</v>
      </c>
      <c r="G66" s="27" t="s">
        <v>332</v>
      </c>
      <c r="H66" s="40">
        <f ca="1">Tabel3[[#This Row],[KEHADIRAN]]/100</f>
        <v>1</v>
      </c>
    </row>
    <row r="67" spans="2:8" x14ac:dyDescent="0.25">
      <c r="B67" s="27" t="s">
        <v>114</v>
      </c>
      <c r="C67" s="10" t="s">
        <v>801</v>
      </c>
      <c r="D67" s="10" t="s">
        <v>406</v>
      </c>
      <c r="E67" s="27" t="s">
        <v>25</v>
      </c>
      <c r="F67" s="27" t="s">
        <v>32</v>
      </c>
      <c r="G67" s="27" t="s">
        <v>122</v>
      </c>
      <c r="H67" s="40">
        <f ca="1">Tabel3[[#This Row],[KEHADIRAN]]/100</f>
        <v>0.87</v>
      </c>
    </row>
    <row r="68" spans="2:8" x14ac:dyDescent="0.25">
      <c r="B68" s="27" t="s">
        <v>116</v>
      </c>
      <c r="C68" s="10" t="s">
        <v>802</v>
      </c>
      <c r="D68" s="10" t="s">
        <v>803</v>
      </c>
      <c r="E68" s="27" t="s">
        <v>31</v>
      </c>
      <c r="F68" s="27" t="s">
        <v>32</v>
      </c>
      <c r="G68" s="27" t="s">
        <v>139</v>
      </c>
      <c r="H68" s="40">
        <f ca="1">Tabel3[[#This Row],[KEHADIRAN]]/100</f>
        <v>0.87</v>
      </c>
    </row>
    <row r="69" spans="2:8" x14ac:dyDescent="0.25">
      <c r="B69" s="27" t="s">
        <v>118</v>
      </c>
      <c r="C69" s="10" t="s">
        <v>804</v>
      </c>
      <c r="D69" s="10" t="s">
        <v>805</v>
      </c>
      <c r="E69" s="27" t="s">
        <v>31</v>
      </c>
      <c r="F69" s="27" t="s">
        <v>26</v>
      </c>
      <c r="G69" s="27" t="s">
        <v>403</v>
      </c>
      <c r="H69" s="40">
        <f ca="1">Tabel3[[#This Row],[KEHADIRAN]]/100</f>
        <v>0.9</v>
      </c>
    </row>
    <row r="70" spans="2:8" x14ac:dyDescent="0.25">
      <c r="B70" s="27" t="s">
        <v>120</v>
      </c>
      <c r="C70" s="10" t="s">
        <v>806</v>
      </c>
      <c r="D70" s="10" t="s">
        <v>807</v>
      </c>
      <c r="E70" s="27" t="s">
        <v>31</v>
      </c>
      <c r="F70" s="27" t="s">
        <v>26</v>
      </c>
      <c r="G70" s="27" t="s">
        <v>404</v>
      </c>
      <c r="H70" s="40">
        <f ca="1">Tabel3[[#This Row],[KEHADIRAN]]/100</f>
        <v>0.83</v>
      </c>
    </row>
    <row r="71" spans="2:8" x14ac:dyDescent="0.25">
      <c r="B71" s="27" t="s">
        <v>11</v>
      </c>
      <c r="C71" s="10" t="s">
        <v>808</v>
      </c>
      <c r="D71" s="10" t="s">
        <v>809</v>
      </c>
      <c r="E71" s="27" t="s">
        <v>31</v>
      </c>
      <c r="F71" s="27" t="s">
        <v>26</v>
      </c>
      <c r="G71" s="27" t="s">
        <v>143</v>
      </c>
      <c r="H71" s="40">
        <f ca="1">Tabel3[[#This Row],[KEHADIRAN]]/100</f>
        <v>0.82</v>
      </c>
    </row>
    <row r="72" spans="2:8" x14ac:dyDescent="0.25">
      <c r="B72" s="27" t="s">
        <v>123</v>
      </c>
      <c r="C72" s="10" t="s">
        <v>810</v>
      </c>
      <c r="D72" s="10" t="s">
        <v>811</v>
      </c>
      <c r="E72" s="27" t="s">
        <v>25</v>
      </c>
      <c r="F72" s="27" t="s">
        <v>26</v>
      </c>
      <c r="G72" s="27" t="s">
        <v>122</v>
      </c>
      <c r="H72" s="40">
        <f ca="1">Tabel3[[#This Row],[KEHADIRAN]]/100</f>
        <v>1</v>
      </c>
    </row>
    <row r="73" spans="2:8" x14ac:dyDescent="0.25">
      <c r="B73" s="27" t="s">
        <v>125</v>
      </c>
      <c r="C73" s="10" t="s">
        <v>812</v>
      </c>
      <c r="D73" s="10" t="s">
        <v>813</v>
      </c>
      <c r="E73" s="27" t="s">
        <v>31</v>
      </c>
      <c r="F73" s="27" t="s">
        <v>219</v>
      </c>
      <c r="G73" s="27" t="s">
        <v>248</v>
      </c>
      <c r="H73" s="40">
        <f ca="1">Tabel3[[#This Row],[KEHADIRAN]]/100</f>
        <v>0.88</v>
      </c>
    </row>
    <row r="74" spans="2:8" x14ac:dyDescent="0.25">
      <c r="B74" s="27" t="s">
        <v>126</v>
      </c>
      <c r="C74" s="10" t="s">
        <v>814</v>
      </c>
      <c r="D74" s="10" t="s">
        <v>815</v>
      </c>
      <c r="E74" s="27" t="s">
        <v>25</v>
      </c>
      <c r="F74" s="27" t="s">
        <v>26</v>
      </c>
      <c r="G74" s="27" t="s">
        <v>62</v>
      </c>
      <c r="H74" s="40">
        <f ca="1">Tabel3[[#This Row],[KEHADIRAN]]/100</f>
        <v>0.89</v>
      </c>
    </row>
    <row r="75" spans="2:8" x14ac:dyDescent="0.25">
      <c r="B75" s="27" t="s">
        <v>128</v>
      </c>
      <c r="C75" s="10" t="s">
        <v>816</v>
      </c>
      <c r="D75" s="10" t="s">
        <v>817</v>
      </c>
      <c r="E75" s="27" t="s">
        <v>31</v>
      </c>
      <c r="F75" s="27" t="s">
        <v>214</v>
      </c>
      <c r="G75" s="27" t="s">
        <v>229</v>
      </c>
      <c r="H75" s="40">
        <f ca="1">Tabel3[[#This Row],[KEHADIRAN]]/100</f>
        <v>1</v>
      </c>
    </row>
    <row r="76" spans="2:8" x14ac:dyDescent="0.25">
      <c r="B76" s="27" t="s">
        <v>129</v>
      </c>
      <c r="C76" s="10" t="s">
        <v>818</v>
      </c>
      <c r="D76" s="10" t="s">
        <v>819</v>
      </c>
      <c r="E76" s="27" t="s">
        <v>31</v>
      </c>
      <c r="F76" s="27" t="s">
        <v>231</v>
      </c>
      <c r="G76" s="27" t="s">
        <v>111</v>
      </c>
      <c r="H76" s="40">
        <f ca="1">Tabel3[[#This Row],[KEHADIRAN]]/100</f>
        <v>0.81</v>
      </c>
    </row>
    <row r="77" spans="2:8" x14ac:dyDescent="0.25">
      <c r="B77" s="27" t="s">
        <v>131</v>
      </c>
      <c r="C77" s="10" t="s">
        <v>820</v>
      </c>
      <c r="D77" s="10" t="s">
        <v>821</v>
      </c>
      <c r="E77" s="27" t="s">
        <v>25</v>
      </c>
      <c r="F77" s="27" t="s">
        <v>32</v>
      </c>
      <c r="G77" s="27" t="s">
        <v>115</v>
      </c>
      <c r="H77" s="40">
        <f ca="1">Tabel3[[#This Row],[KEHADIRAN]]/100</f>
        <v>0.86</v>
      </c>
    </row>
    <row r="78" spans="2:8" x14ac:dyDescent="0.25">
      <c r="B78" s="27" t="s">
        <v>133</v>
      </c>
      <c r="C78" s="10" t="s">
        <v>822</v>
      </c>
      <c r="D78" s="10" t="s">
        <v>823</v>
      </c>
      <c r="E78" s="27" t="s">
        <v>31</v>
      </c>
      <c r="F78" s="27" t="s">
        <v>223</v>
      </c>
      <c r="G78" s="27" t="s">
        <v>113</v>
      </c>
      <c r="H78" s="40">
        <f ca="1">Tabel3[[#This Row],[KEHADIRAN]]/100</f>
        <v>0.94</v>
      </c>
    </row>
    <row r="79" spans="2:8" x14ac:dyDescent="0.25">
      <c r="B79" s="27" t="s">
        <v>134</v>
      </c>
      <c r="C79" s="10" t="s">
        <v>824</v>
      </c>
      <c r="D79" s="10" t="s">
        <v>825</v>
      </c>
      <c r="E79" s="27" t="s">
        <v>31</v>
      </c>
      <c r="F79" s="27" t="s">
        <v>231</v>
      </c>
      <c r="G79" s="27" t="s">
        <v>412</v>
      </c>
      <c r="H79" s="40">
        <f ca="1">Tabel3[[#This Row],[KEHADIRAN]]/100</f>
        <v>0.86</v>
      </c>
    </row>
    <row r="80" spans="2:8" x14ac:dyDescent="0.25">
      <c r="B80" s="27" t="s">
        <v>136</v>
      </c>
      <c r="C80" s="10" t="s">
        <v>828</v>
      </c>
      <c r="D80" s="10" t="s">
        <v>829</v>
      </c>
      <c r="E80" s="27" t="s">
        <v>25</v>
      </c>
      <c r="F80" s="27" t="s">
        <v>53</v>
      </c>
      <c r="G80" s="27" t="s">
        <v>62</v>
      </c>
      <c r="H80" s="40">
        <f ca="1">Tabel3[[#This Row],[KEHADIRAN]]/100</f>
        <v>0.89</v>
      </c>
    </row>
    <row r="81" spans="2:8" x14ac:dyDescent="0.25">
      <c r="B81" s="27" t="s">
        <v>138</v>
      </c>
      <c r="C81" s="10" t="s">
        <v>830</v>
      </c>
      <c r="D81" s="10" t="s">
        <v>831</v>
      </c>
      <c r="E81" s="27" t="s">
        <v>31</v>
      </c>
      <c r="F81" s="27" t="s">
        <v>223</v>
      </c>
      <c r="G81" s="27" t="s">
        <v>177</v>
      </c>
      <c r="H81" s="40">
        <f ca="1">Tabel3[[#This Row],[KEHADIRAN]]/100</f>
        <v>0.84</v>
      </c>
    </row>
    <row r="82" spans="2:8" x14ac:dyDescent="0.25">
      <c r="B82" s="27" t="s">
        <v>140</v>
      </c>
      <c r="C82" s="10" t="s">
        <v>832</v>
      </c>
      <c r="D82" s="10" t="s">
        <v>833</v>
      </c>
      <c r="E82" s="27" t="s">
        <v>31</v>
      </c>
      <c r="F82" s="27" t="s">
        <v>32</v>
      </c>
      <c r="G82" s="27" t="s">
        <v>115</v>
      </c>
      <c r="H82" s="40">
        <f ca="1">Tabel3[[#This Row],[KEHADIRAN]]/100</f>
        <v>0.86</v>
      </c>
    </row>
    <row r="83" spans="2:8" x14ac:dyDescent="0.25">
      <c r="B83" s="27" t="s">
        <v>142</v>
      </c>
      <c r="C83" s="10" t="s">
        <v>834</v>
      </c>
      <c r="D83" s="10" t="s">
        <v>835</v>
      </c>
      <c r="E83" s="27" t="s">
        <v>31</v>
      </c>
      <c r="F83" s="27" t="s">
        <v>32</v>
      </c>
      <c r="G83" s="27" t="s">
        <v>412</v>
      </c>
      <c r="H83" s="40">
        <f ca="1">Tabel3[[#This Row],[KEHADIRAN]]/100</f>
        <v>0.96</v>
      </c>
    </row>
    <row r="84" spans="2:8" x14ac:dyDescent="0.25">
      <c r="B84" s="27" t="s">
        <v>144</v>
      </c>
      <c r="C84" s="10" t="s">
        <v>836</v>
      </c>
      <c r="D84" s="10" t="s">
        <v>837</v>
      </c>
      <c r="E84" s="27" t="s">
        <v>25</v>
      </c>
      <c r="F84" s="27" t="s">
        <v>32</v>
      </c>
      <c r="G84" s="27" t="s">
        <v>248</v>
      </c>
      <c r="H84" s="40">
        <f ca="1">Tabel3[[#This Row],[KEHADIRAN]]/100</f>
        <v>0.85</v>
      </c>
    </row>
    <row r="85" spans="2:8" x14ac:dyDescent="0.25">
      <c r="B85" s="27" t="s">
        <v>145</v>
      </c>
      <c r="C85" s="10" t="s">
        <v>838</v>
      </c>
      <c r="D85" s="10" t="s">
        <v>839</v>
      </c>
      <c r="E85" s="27" t="s">
        <v>6</v>
      </c>
      <c r="F85" s="27" t="s">
        <v>200</v>
      </c>
      <c r="G85" s="27" t="s">
        <v>298</v>
      </c>
      <c r="H85" s="40">
        <v>0</v>
      </c>
    </row>
    <row r="86" spans="2:8" x14ac:dyDescent="0.25">
      <c r="B86" s="27" t="s">
        <v>147</v>
      </c>
      <c r="C86" s="10" t="s">
        <v>840</v>
      </c>
      <c r="D86" s="10" t="s">
        <v>841</v>
      </c>
      <c r="E86" s="27" t="s">
        <v>25</v>
      </c>
      <c r="F86" s="27" t="s">
        <v>135</v>
      </c>
      <c r="G86" s="27" t="s">
        <v>141</v>
      </c>
      <c r="H86" s="40">
        <f ca="1">Tabel3[[#This Row],[KEHADIRAN]]/100</f>
        <v>0.97</v>
      </c>
    </row>
    <row r="87" spans="2:8" x14ac:dyDescent="0.25">
      <c r="B87" s="27" t="s">
        <v>148</v>
      </c>
      <c r="C87" s="10" t="s">
        <v>842</v>
      </c>
      <c r="D87" s="10" t="s">
        <v>843</v>
      </c>
      <c r="E87" s="27" t="s">
        <v>25</v>
      </c>
      <c r="F87" s="27" t="s">
        <v>32</v>
      </c>
      <c r="G87" s="27" t="s">
        <v>111</v>
      </c>
      <c r="H87" s="40">
        <f ca="1">Tabel3[[#This Row],[KEHADIRAN]]/100</f>
        <v>0.92</v>
      </c>
    </row>
    <row r="88" spans="2:8" x14ac:dyDescent="0.25">
      <c r="B88" s="27" t="s">
        <v>150</v>
      </c>
      <c r="C88" s="10" t="s">
        <v>844</v>
      </c>
      <c r="D88" s="10" t="s">
        <v>845</v>
      </c>
      <c r="E88" s="27" t="s">
        <v>319</v>
      </c>
      <c r="F88" s="27" t="s">
        <v>175</v>
      </c>
      <c r="G88" s="27" t="s">
        <v>846</v>
      </c>
      <c r="H88" s="40">
        <v>0</v>
      </c>
    </row>
    <row r="89" spans="2:8" x14ac:dyDescent="0.25">
      <c r="B89" s="27" t="s">
        <v>152</v>
      </c>
      <c r="C89" s="10" t="s">
        <v>847</v>
      </c>
      <c r="D89" s="10" t="s">
        <v>848</v>
      </c>
      <c r="E89" s="27" t="s">
        <v>31</v>
      </c>
      <c r="F89" s="27" t="s">
        <v>53</v>
      </c>
      <c r="G89" s="27" t="s">
        <v>355</v>
      </c>
      <c r="H89" s="40">
        <f ca="1">Tabel3[[#This Row],[KEHADIRAN]]/100</f>
        <v>1</v>
      </c>
    </row>
    <row r="90" spans="2:8" x14ac:dyDescent="0.25">
      <c r="B90" s="27" t="s">
        <v>153</v>
      </c>
      <c r="C90" s="10" t="s">
        <v>849</v>
      </c>
      <c r="D90" s="10" t="s">
        <v>850</v>
      </c>
      <c r="E90" s="27" t="s">
        <v>31</v>
      </c>
      <c r="F90" s="27" t="s">
        <v>53</v>
      </c>
      <c r="G90" s="27" t="s">
        <v>241</v>
      </c>
      <c r="H90" s="40">
        <f ca="1">Tabel3[[#This Row],[KEHADIRAN]]/100</f>
        <v>0.91</v>
      </c>
    </row>
    <row r="91" spans="2:8" x14ac:dyDescent="0.25">
      <c r="B91" s="27" t="s">
        <v>155</v>
      </c>
      <c r="C91" s="10" t="s">
        <v>851</v>
      </c>
      <c r="D91" s="10" t="s">
        <v>852</v>
      </c>
      <c r="E91" s="27" t="s">
        <v>25</v>
      </c>
      <c r="F91" s="27" t="s">
        <v>53</v>
      </c>
      <c r="G91" s="27" t="s">
        <v>257</v>
      </c>
      <c r="H91" s="40">
        <f ca="1">Tabel3[[#This Row],[KEHADIRAN]]/100</f>
        <v>0.98</v>
      </c>
    </row>
    <row r="92" spans="2:8" x14ac:dyDescent="0.25">
      <c r="B92" s="27" t="s">
        <v>156</v>
      </c>
      <c r="C92" s="10" t="s">
        <v>853</v>
      </c>
      <c r="D92" s="10" t="s">
        <v>854</v>
      </c>
      <c r="E92" s="27" t="s">
        <v>25</v>
      </c>
      <c r="F92" s="27" t="s">
        <v>53</v>
      </c>
      <c r="G92" s="27" t="s">
        <v>132</v>
      </c>
      <c r="H92" s="40">
        <f ca="1">Tabel3[[#This Row],[KEHADIRAN]]/100</f>
        <v>0.96</v>
      </c>
    </row>
    <row r="93" spans="2:8" x14ac:dyDescent="0.25">
      <c r="B93" s="27" t="s">
        <v>157</v>
      </c>
      <c r="C93" s="10" t="s">
        <v>856</v>
      </c>
      <c r="D93" s="10" t="s">
        <v>857</v>
      </c>
      <c r="E93" s="27" t="s">
        <v>25</v>
      </c>
      <c r="F93" s="27" t="s">
        <v>32</v>
      </c>
      <c r="G93" s="27" t="s">
        <v>332</v>
      </c>
      <c r="H93" s="40">
        <f ca="1">Tabel3[[#This Row],[KEHADIRAN]]/100</f>
        <v>0.84</v>
      </c>
    </row>
    <row r="94" spans="2:8" x14ac:dyDescent="0.25">
      <c r="B94" s="27" t="s">
        <v>159</v>
      </c>
      <c r="C94" s="10" t="s">
        <v>858</v>
      </c>
      <c r="D94" s="10" t="s">
        <v>859</v>
      </c>
      <c r="E94" s="27" t="s">
        <v>25</v>
      </c>
      <c r="F94" s="27" t="s">
        <v>32</v>
      </c>
      <c r="G94" s="27" t="s">
        <v>111</v>
      </c>
      <c r="H94" s="40">
        <f ca="1">Tabel3[[#This Row],[KEHADIRAN]]/100</f>
        <v>0.81</v>
      </c>
    </row>
    <row r="95" spans="2:8" x14ac:dyDescent="0.25">
      <c r="B95" s="27" t="s">
        <v>161</v>
      </c>
      <c r="C95" s="10" t="s">
        <v>860</v>
      </c>
      <c r="D95" s="10" t="s">
        <v>861</v>
      </c>
      <c r="E95" s="27" t="s">
        <v>25</v>
      </c>
      <c r="F95" s="27" t="s">
        <v>26</v>
      </c>
      <c r="G95" s="27" t="s">
        <v>113</v>
      </c>
      <c r="H95" s="40">
        <f ca="1">Tabel3[[#This Row],[KEHADIRAN]]/100</f>
        <v>0.93</v>
      </c>
    </row>
    <row r="96" spans="2:8" x14ac:dyDescent="0.25">
      <c r="B96" s="27" t="s">
        <v>162</v>
      </c>
      <c r="C96" s="10" t="s">
        <v>862</v>
      </c>
      <c r="D96" s="10" t="s">
        <v>863</v>
      </c>
      <c r="E96" s="27" t="s">
        <v>25</v>
      </c>
      <c r="F96" s="27" t="s">
        <v>32</v>
      </c>
      <c r="G96" s="27" t="s">
        <v>143</v>
      </c>
      <c r="H96" s="40">
        <f ca="1">Tabel3[[#This Row],[KEHADIRAN]]/100</f>
        <v>0.88</v>
      </c>
    </row>
    <row r="97" spans="2:8" x14ac:dyDescent="0.25">
      <c r="B97" s="27" t="s">
        <v>163</v>
      </c>
      <c r="C97" s="10" t="s">
        <v>864</v>
      </c>
      <c r="D97" s="10" t="s">
        <v>865</v>
      </c>
      <c r="E97" s="27" t="s">
        <v>25</v>
      </c>
      <c r="F97" s="27" t="s">
        <v>26</v>
      </c>
      <c r="G97" s="27" t="s">
        <v>248</v>
      </c>
      <c r="H97" s="40">
        <f ca="1">Tabel3[[#This Row],[KEHADIRAN]]/100</f>
        <v>0.99</v>
      </c>
    </row>
    <row r="98" spans="2:8" x14ac:dyDescent="0.25">
      <c r="B98" s="27" t="s">
        <v>164</v>
      </c>
      <c r="C98" s="10" t="s">
        <v>866</v>
      </c>
      <c r="D98" s="10" t="s">
        <v>867</v>
      </c>
      <c r="E98" s="27" t="s">
        <v>31</v>
      </c>
      <c r="F98" s="27" t="s">
        <v>216</v>
      </c>
      <c r="G98" s="27" t="s">
        <v>239</v>
      </c>
      <c r="H98" s="40">
        <f ca="1">Tabel3[[#This Row],[KEHADIRAN]]/100</f>
        <v>0.97</v>
      </c>
    </row>
    <row r="99" spans="2:8" x14ac:dyDescent="0.25">
      <c r="B99" s="27" t="s">
        <v>165</v>
      </c>
      <c r="C99" s="10" t="s">
        <v>868</v>
      </c>
      <c r="D99" s="10" t="s">
        <v>869</v>
      </c>
      <c r="E99" s="27" t="s">
        <v>25</v>
      </c>
      <c r="F99" s="27" t="s">
        <v>26</v>
      </c>
      <c r="G99" s="27" t="s">
        <v>271</v>
      </c>
      <c r="H99" s="40">
        <f ca="1">Tabel3[[#This Row],[KEHADIRAN]]/100</f>
        <v>0.9</v>
      </c>
    </row>
    <row r="100" spans="2:8" x14ac:dyDescent="0.25">
      <c r="B100" s="27" t="s">
        <v>34</v>
      </c>
      <c r="C100" s="10" t="s">
        <v>870</v>
      </c>
      <c r="D100" s="10" t="s">
        <v>871</v>
      </c>
      <c r="E100" s="27" t="s">
        <v>6</v>
      </c>
      <c r="F100" s="27" t="s">
        <v>191</v>
      </c>
      <c r="G100" s="27" t="s">
        <v>97</v>
      </c>
      <c r="H100" s="40">
        <v>0</v>
      </c>
    </row>
    <row r="101" spans="2:8" x14ac:dyDescent="0.25">
      <c r="B101" s="27" t="s">
        <v>167</v>
      </c>
      <c r="C101" s="10" t="s">
        <v>874</v>
      </c>
      <c r="D101" s="10" t="s">
        <v>875</v>
      </c>
      <c r="E101" s="27" t="s">
        <v>25</v>
      </c>
      <c r="F101" s="27" t="s">
        <v>53</v>
      </c>
      <c r="G101" s="27" t="s">
        <v>404</v>
      </c>
      <c r="H101" s="40">
        <f ca="1">Tabel3[[#This Row],[KEHADIRAN]]/100</f>
        <v>0.83</v>
      </c>
    </row>
    <row r="102" spans="2:8" x14ac:dyDescent="0.25">
      <c r="B102" s="27" t="s">
        <v>168</v>
      </c>
      <c r="C102" s="10" t="s">
        <v>876</v>
      </c>
      <c r="D102" s="10" t="s">
        <v>877</v>
      </c>
      <c r="E102" s="27" t="s">
        <v>25</v>
      </c>
      <c r="F102" s="27" t="s">
        <v>53</v>
      </c>
      <c r="G102" s="27" t="s">
        <v>62</v>
      </c>
      <c r="H102" s="40">
        <f ca="1">Tabel3[[#This Row],[KEHADIRAN]]/100</f>
        <v>0.85</v>
      </c>
    </row>
    <row r="103" spans="2:8" x14ac:dyDescent="0.25">
      <c r="B103" s="27" t="s">
        <v>22</v>
      </c>
      <c r="C103" s="10" t="s">
        <v>881</v>
      </c>
      <c r="D103" s="10" t="s">
        <v>882</v>
      </c>
      <c r="E103" s="27" t="s">
        <v>25</v>
      </c>
      <c r="F103" s="27" t="s">
        <v>26</v>
      </c>
      <c r="G103" s="27" t="s">
        <v>241</v>
      </c>
      <c r="H103" s="40">
        <f ca="1">Tabel3[[#This Row],[KEHADIRAN]]/100</f>
        <v>0.8</v>
      </c>
    </row>
    <row r="104" spans="2:8" x14ac:dyDescent="0.25">
      <c r="B104" s="27" t="s">
        <v>102</v>
      </c>
      <c r="C104" s="10" t="s">
        <v>883</v>
      </c>
      <c r="D104" s="10" t="s">
        <v>884</v>
      </c>
      <c r="E104" s="27" t="s">
        <v>25</v>
      </c>
      <c r="F104" s="27" t="s">
        <v>32</v>
      </c>
      <c r="G104" s="27" t="s">
        <v>139</v>
      </c>
      <c r="H104" s="40">
        <f ca="1">Tabel3[[#This Row],[KEHADIRAN]]/100</f>
        <v>0.83</v>
      </c>
    </row>
    <row r="105" spans="2:8" x14ac:dyDescent="0.25">
      <c r="B105" s="27" t="s">
        <v>170</v>
      </c>
      <c r="C105" s="10" t="s">
        <v>885</v>
      </c>
      <c r="D105" s="10" t="s">
        <v>886</v>
      </c>
      <c r="E105" s="27" t="s">
        <v>31</v>
      </c>
      <c r="F105" s="27" t="s">
        <v>200</v>
      </c>
      <c r="G105" s="27" t="s">
        <v>190</v>
      </c>
      <c r="H105" s="40">
        <f ca="1">Tabel3[[#This Row],[KEHADIRAN]]/100</f>
        <v>0.8</v>
      </c>
    </row>
    <row r="106" spans="2:8" x14ac:dyDescent="0.25">
      <c r="B106" s="27" t="s">
        <v>171</v>
      </c>
      <c r="C106" s="10" t="s">
        <v>887</v>
      </c>
      <c r="D106" s="10" t="s">
        <v>888</v>
      </c>
      <c r="E106" s="27" t="s">
        <v>31</v>
      </c>
      <c r="F106" s="27" t="s">
        <v>51</v>
      </c>
      <c r="G106" s="27" t="s">
        <v>342</v>
      </c>
      <c r="H106" s="40">
        <f ca="1">Tabel3[[#This Row],[KEHADIRAN]]/100</f>
        <v>0.83</v>
      </c>
    </row>
    <row r="107" spans="2:8" x14ac:dyDescent="0.25">
      <c r="B107" s="27" t="s">
        <v>173</v>
      </c>
      <c r="C107" s="10" t="s">
        <v>889</v>
      </c>
      <c r="D107" s="10" t="s">
        <v>890</v>
      </c>
      <c r="E107" s="27" t="s">
        <v>31</v>
      </c>
      <c r="F107" s="27" t="s">
        <v>219</v>
      </c>
      <c r="G107" s="27" t="s">
        <v>418</v>
      </c>
      <c r="H107" s="40">
        <f ca="1">Tabel3[[#This Row],[KEHADIRAN]]/100</f>
        <v>0.9</v>
      </c>
    </row>
    <row r="108" spans="2:8" x14ac:dyDescent="0.25">
      <c r="B108" s="27" t="s">
        <v>175</v>
      </c>
      <c r="C108" s="10" t="s">
        <v>891</v>
      </c>
      <c r="D108" s="10" t="s">
        <v>892</v>
      </c>
      <c r="E108" s="27" t="s">
        <v>319</v>
      </c>
      <c r="F108" s="27" t="s">
        <v>168</v>
      </c>
      <c r="G108" s="27" t="s">
        <v>418</v>
      </c>
      <c r="H108" s="40">
        <v>0</v>
      </c>
    </row>
    <row r="109" spans="2:8" x14ac:dyDescent="0.25">
      <c r="B109" s="27" t="s">
        <v>176</v>
      </c>
      <c r="C109" s="10" t="s">
        <v>893</v>
      </c>
      <c r="D109" s="10" t="s">
        <v>894</v>
      </c>
      <c r="E109" s="27" t="s">
        <v>25</v>
      </c>
      <c r="F109" s="27" t="s">
        <v>32</v>
      </c>
      <c r="G109" s="27" t="s">
        <v>111</v>
      </c>
      <c r="H109" s="40">
        <f ca="1">Tabel3[[#This Row],[KEHADIRAN]]/100</f>
        <v>0.96</v>
      </c>
    </row>
    <row r="110" spans="2:8" x14ac:dyDescent="0.25">
      <c r="B110" s="27" t="s">
        <v>178</v>
      </c>
      <c r="C110" s="10" t="s">
        <v>895</v>
      </c>
      <c r="D110" s="10" t="s">
        <v>896</v>
      </c>
      <c r="E110" s="27" t="s">
        <v>31</v>
      </c>
      <c r="F110" s="27" t="s">
        <v>216</v>
      </c>
      <c r="G110" s="27" t="s">
        <v>241</v>
      </c>
      <c r="H110" s="40">
        <f ca="1">Tabel3[[#This Row],[KEHADIRAN]]/100</f>
        <v>0.85</v>
      </c>
    </row>
    <row r="111" spans="2:8" x14ac:dyDescent="0.25">
      <c r="B111" s="27" t="s">
        <v>179</v>
      </c>
      <c r="C111" s="10" t="s">
        <v>897</v>
      </c>
      <c r="D111" s="10" t="s">
        <v>898</v>
      </c>
      <c r="E111" s="27" t="s">
        <v>31</v>
      </c>
      <c r="F111" s="27" t="s">
        <v>32</v>
      </c>
      <c r="G111" s="27" t="s">
        <v>83</v>
      </c>
      <c r="H111" s="40">
        <f ca="1">Tabel3[[#This Row],[KEHADIRAN]]/100</f>
        <v>0.97</v>
      </c>
    </row>
    <row r="112" spans="2:8" x14ac:dyDescent="0.25">
      <c r="B112" s="27" t="s">
        <v>180</v>
      </c>
      <c r="C112" s="10" t="s">
        <v>899</v>
      </c>
      <c r="D112" s="10" t="s">
        <v>900</v>
      </c>
      <c r="E112" s="27" t="s">
        <v>25</v>
      </c>
      <c r="F112" s="27" t="s">
        <v>32</v>
      </c>
      <c r="G112" s="27" t="s">
        <v>332</v>
      </c>
      <c r="H112" s="40">
        <f ca="1">Tabel3[[#This Row],[KEHADIRAN]]/100</f>
        <v>1</v>
      </c>
    </row>
    <row r="113" spans="2:8" x14ac:dyDescent="0.25">
      <c r="B113" s="27" t="s">
        <v>182</v>
      </c>
      <c r="C113" s="10" t="s">
        <v>901</v>
      </c>
      <c r="D113" s="10" t="s">
        <v>902</v>
      </c>
      <c r="E113" s="27" t="s">
        <v>25</v>
      </c>
      <c r="F113" s="27" t="s">
        <v>32</v>
      </c>
      <c r="G113" s="27" t="s">
        <v>257</v>
      </c>
      <c r="H113" s="40">
        <f ca="1">Tabel3[[#This Row],[KEHADIRAN]]/100</f>
        <v>1</v>
      </c>
    </row>
    <row r="114" spans="2:8" x14ac:dyDescent="0.25">
      <c r="B114" s="27" t="s">
        <v>184</v>
      </c>
      <c r="C114" s="10" t="s">
        <v>903</v>
      </c>
      <c r="D114" s="10" t="s">
        <v>904</v>
      </c>
      <c r="E114" s="27" t="s">
        <v>31</v>
      </c>
      <c r="F114" s="27" t="s">
        <v>223</v>
      </c>
      <c r="G114" s="27" t="s">
        <v>111</v>
      </c>
      <c r="H114" s="40">
        <f ca="1">Tabel3[[#This Row],[KEHADIRAN]]/100</f>
        <v>0.97</v>
      </c>
    </row>
    <row r="115" spans="2:8" x14ac:dyDescent="0.25">
      <c r="B115" s="27" t="s">
        <v>186</v>
      </c>
      <c r="C115" s="10" t="s">
        <v>907</v>
      </c>
      <c r="D115" s="10" t="s">
        <v>908</v>
      </c>
      <c r="E115" s="27" t="s">
        <v>25</v>
      </c>
      <c r="F115" s="27" t="s">
        <v>26</v>
      </c>
      <c r="G115" s="27" t="s">
        <v>248</v>
      </c>
      <c r="H115" s="40">
        <f ca="1">Tabel3[[#This Row],[KEHADIRAN]]/100</f>
        <v>0.91</v>
      </c>
    </row>
    <row r="116" spans="2:8" x14ac:dyDescent="0.25">
      <c r="B116" s="27" t="s">
        <v>187</v>
      </c>
      <c r="C116" s="10" t="s">
        <v>909</v>
      </c>
      <c r="D116" s="10" t="s">
        <v>910</v>
      </c>
      <c r="E116" s="27" t="s">
        <v>25</v>
      </c>
      <c r="F116" s="27" t="s">
        <v>53</v>
      </c>
      <c r="G116" s="27" t="s">
        <v>143</v>
      </c>
      <c r="H116" s="40">
        <f ca="1">Tabel3[[#This Row],[KEHADIRAN]]/100</f>
        <v>0.82</v>
      </c>
    </row>
    <row r="117" spans="2:8" x14ac:dyDescent="0.25">
      <c r="B117" s="27" t="s">
        <v>189</v>
      </c>
      <c r="C117" s="10" t="s">
        <v>911</v>
      </c>
      <c r="D117" s="10" t="s">
        <v>912</v>
      </c>
      <c r="E117" s="27" t="s">
        <v>25</v>
      </c>
      <c r="F117" s="27" t="s">
        <v>32</v>
      </c>
      <c r="G117" s="27" t="s">
        <v>124</v>
      </c>
      <c r="H117" s="40">
        <f ca="1">Tabel3[[#This Row],[KEHADIRAN]]/100</f>
        <v>0.94</v>
      </c>
    </row>
    <row r="118" spans="2:8" x14ac:dyDescent="0.25">
      <c r="B118" s="27" t="s">
        <v>191</v>
      </c>
      <c r="C118" s="10" t="s">
        <v>913</v>
      </c>
      <c r="D118" s="10" t="s">
        <v>914</v>
      </c>
      <c r="E118" s="27" t="s">
        <v>31</v>
      </c>
      <c r="F118" s="27" t="s">
        <v>26</v>
      </c>
      <c r="G118" s="27" t="s">
        <v>481</v>
      </c>
      <c r="H118" s="40">
        <f ca="1">Tabel3[[#This Row],[KEHADIRAN]]/100</f>
        <v>0.96</v>
      </c>
    </row>
    <row r="119" spans="2:8" x14ac:dyDescent="0.25">
      <c r="B119" s="27" t="s">
        <v>192</v>
      </c>
      <c r="C119" s="10" t="s">
        <v>915</v>
      </c>
      <c r="D119" s="10" t="s">
        <v>916</v>
      </c>
      <c r="E119" s="27" t="s">
        <v>31</v>
      </c>
      <c r="F119" s="27" t="s">
        <v>53</v>
      </c>
      <c r="G119" s="27" t="s">
        <v>269</v>
      </c>
      <c r="H119" s="40">
        <f ca="1">Tabel3[[#This Row],[KEHADIRAN]]/100</f>
        <v>0.98</v>
      </c>
    </row>
    <row r="120" spans="2:8" x14ac:dyDescent="0.25">
      <c r="B120" s="27" t="s">
        <v>194</v>
      </c>
      <c r="C120" s="10" t="s">
        <v>917</v>
      </c>
      <c r="D120" s="10" t="s">
        <v>918</v>
      </c>
      <c r="E120" s="27" t="s">
        <v>25</v>
      </c>
      <c r="F120" s="27" t="s">
        <v>53</v>
      </c>
      <c r="G120" s="27" t="s">
        <v>355</v>
      </c>
      <c r="H120" s="40">
        <f ca="1">Tabel3[[#This Row],[KEHADIRAN]]/100</f>
        <v>0.98</v>
      </c>
    </row>
    <row r="121" spans="2:8" x14ac:dyDescent="0.25">
      <c r="B121" s="27" t="s">
        <v>195</v>
      </c>
      <c r="C121" s="10" t="s">
        <v>919</v>
      </c>
      <c r="D121" s="10" t="s">
        <v>920</v>
      </c>
      <c r="E121" s="27" t="s">
        <v>25</v>
      </c>
      <c r="F121" s="27" t="s">
        <v>51</v>
      </c>
      <c r="G121" s="27" t="s">
        <v>177</v>
      </c>
      <c r="H121" s="40">
        <f ca="1">Tabel3[[#This Row],[KEHADIRAN]]/100</f>
        <v>0.95</v>
      </c>
    </row>
    <row r="122" spans="2:8" x14ac:dyDescent="0.25">
      <c r="B122" s="27" t="s">
        <v>196</v>
      </c>
      <c r="C122" s="10" t="s">
        <v>923</v>
      </c>
      <c r="D122" s="10" t="s">
        <v>924</v>
      </c>
      <c r="E122" s="27" t="s">
        <v>25</v>
      </c>
      <c r="F122" s="27" t="s">
        <v>32</v>
      </c>
      <c r="G122" s="27" t="s">
        <v>416</v>
      </c>
      <c r="H122" s="40">
        <f ca="1">Tabel3[[#This Row],[KEHADIRAN]]/100</f>
        <v>0.82</v>
      </c>
    </row>
    <row r="123" spans="2:8" x14ac:dyDescent="0.25">
      <c r="B123" s="27" t="s">
        <v>44</v>
      </c>
      <c r="C123" s="10" t="s">
        <v>925</v>
      </c>
      <c r="D123" s="10" t="s">
        <v>926</v>
      </c>
      <c r="E123" s="27" t="s">
        <v>25</v>
      </c>
      <c r="F123" s="27" t="s">
        <v>32</v>
      </c>
      <c r="G123" s="27" t="s">
        <v>62</v>
      </c>
      <c r="H123" s="40">
        <f ca="1">Tabel3[[#This Row],[KEHADIRAN]]/100</f>
        <v>0.99</v>
      </c>
    </row>
    <row r="124" spans="2:8" x14ac:dyDescent="0.25">
      <c r="B124" s="27" t="s">
        <v>197</v>
      </c>
      <c r="C124" s="10" t="s">
        <v>929</v>
      </c>
      <c r="D124" s="10" t="s">
        <v>930</v>
      </c>
      <c r="E124" s="27" t="s">
        <v>31</v>
      </c>
      <c r="F124" s="27" t="s">
        <v>135</v>
      </c>
      <c r="G124" s="27" t="s">
        <v>143</v>
      </c>
      <c r="H124" s="40">
        <f ca="1">Tabel3[[#This Row],[KEHADIRAN]]/100</f>
        <v>0.96</v>
      </c>
    </row>
    <row r="125" spans="2:8" x14ac:dyDescent="0.25">
      <c r="B125" s="27" t="s">
        <v>198</v>
      </c>
      <c r="C125" s="10" t="s">
        <v>932</v>
      </c>
      <c r="D125" s="10" t="s">
        <v>933</v>
      </c>
      <c r="E125" s="27" t="s">
        <v>25</v>
      </c>
      <c r="F125" s="27" t="s">
        <v>26</v>
      </c>
      <c r="G125" s="27" t="s">
        <v>271</v>
      </c>
      <c r="H125" s="40">
        <f ca="1">Tabel3[[#This Row],[KEHADIRAN]]/100</f>
        <v>0.98</v>
      </c>
    </row>
    <row r="126" spans="2:8" x14ac:dyDescent="0.25">
      <c r="B126" s="27" t="s">
        <v>200</v>
      </c>
      <c r="C126" s="10" t="s">
        <v>934</v>
      </c>
      <c r="D126" s="10" t="s">
        <v>935</v>
      </c>
      <c r="E126" s="27" t="s">
        <v>25</v>
      </c>
      <c r="F126" s="27" t="s">
        <v>32</v>
      </c>
      <c r="G126" s="27" t="s">
        <v>416</v>
      </c>
      <c r="H126" s="40">
        <f ca="1">Tabel3[[#This Row],[KEHADIRAN]]/100</f>
        <v>0.86</v>
      </c>
    </row>
    <row r="127" spans="2:8" x14ac:dyDescent="0.25">
      <c r="B127" s="27" t="s">
        <v>201</v>
      </c>
      <c r="C127" s="10" t="s">
        <v>936</v>
      </c>
      <c r="D127" s="10" t="s">
        <v>937</v>
      </c>
      <c r="E127" s="27" t="s">
        <v>31</v>
      </c>
      <c r="F127" s="27" t="s">
        <v>51</v>
      </c>
      <c r="G127" s="27" t="s">
        <v>239</v>
      </c>
      <c r="H127" s="40">
        <f ca="1">Tabel3[[#This Row],[KEHADIRAN]]/100</f>
        <v>0.87</v>
      </c>
    </row>
    <row r="128" spans="2:8" x14ac:dyDescent="0.25">
      <c r="B128" s="27" t="s">
        <v>9</v>
      </c>
      <c r="C128" s="10" t="s">
        <v>938</v>
      </c>
      <c r="D128" s="10" t="s">
        <v>939</v>
      </c>
      <c r="E128" s="27" t="s">
        <v>31</v>
      </c>
      <c r="F128" s="27" t="s">
        <v>223</v>
      </c>
      <c r="G128" s="27" t="s">
        <v>122</v>
      </c>
      <c r="H128" s="40">
        <f ca="1">Tabel3[[#This Row],[KEHADIRAN]]/100</f>
        <v>0.95</v>
      </c>
    </row>
    <row r="129" spans="2:8" x14ac:dyDescent="0.25">
      <c r="B129" s="27" t="s">
        <v>202</v>
      </c>
      <c r="C129" s="10" t="s">
        <v>940</v>
      </c>
      <c r="D129" s="10" t="s">
        <v>941</v>
      </c>
      <c r="E129" s="27" t="s">
        <v>31</v>
      </c>
      <c r="F129" s="27" t="s">
        <v>228</v>
      </c>
      <c r="G129" s="27" t="s">
        <v>271</v>
      </c>
      <c r="H129" s="40">
        <f ca="1">Tabel3[[#This Row],[KEHADIRAN]]/100</f>
        <v>0.91</v>
      </c>
    </row>
    <row r="130" spans="2:8" x14ac:dyDescent="0.25">
      <c r="B130" s="27" t="s">
        <v>204</v>
      </c>
      <c r="C130" s="10" t="s">
        <v>942</v>
      </c>
      <c r="D130" s="10" t="s">
        <v>943</v>
      </c>
      <c r="E130" s="27" t="s">
        <v>25</v>
      </c>
      <c r="F130" s="27" t="s">
        <v>32</v>
      </c>
      <c r="G130" s="27" t="s">
        <v>212</v>
      </c>
      <c r="H130" s="40">
        <f ca="1">Tabel3[[#This Row],[KEHADIRAN]]/100</f>
        <v>0.96</v>
      </c>
    </row>
    <row r="131" spans="2:8" x14ac:dyDescent="0.25">
      <c r="B131" s="27" t="s">
        <v>205</v>
      </c>
      <c r="C131" s="10" t="s">
        <v>944</v>
      </c>
      <c r="D131" s="10" t="s">
        <v>945</v>
      </c>
      <c r="E131" s="27" t="s">
        <v>25</v>
      </c>
      <c r="F131" s="27" t="s">
        <v>53</v>
      </c>
      <c r="G131" s="27" t="s">
        <v>414</v>
      </c>
      <c r="H131" s="40">
        <f ca="1">Tabel3[[#This Row],[KEHADIRAN]]/100</f>
        <v>0.95</v>
      </c>
    </row>
    <row r="132" spans="2:8" x14ac:dyDescent="0.25">
      <c r="B132" s="27" t="s">
        <v>206</v>
      </c>
      <c r="C132" s="10" t="s">
        <v>946</v>
      </c>
      <c r="D132" s="10" t="s">
        <v>947</v>
      </c>
      <c r="E132" s="27" t="s">
        <v>31</v>
      </c>
      <c r="F132" s="27" t="s">
        <v>219</v>
      </c>
      <c r="G132" s="27" t="s">
        <v>127</v>
      </c>
      <c r="H132" s="40">
        <f ca="1">Tabel3[[#This Row],[KEHADIRAN]]/100</f>
        <v>0.81</v>
      </c>
    </row>
    <row r="133" spans="2:8" x14ac:dyDescent="0.25">
      <c r="B133" s="27" t="s">
        <v>15</v>
      </c>
      <c r="C133" s="10" t="s">
        <v>948</v>
      </c>
      <c r="D133" s="10" t="s">
        <v>949</v>
      </c>
      <c r="E133" s="27" t="s">
        <v>25</v>
      </c>
      <c r="F133" s="27" t="s">
        <v>26</v>
      </c>
      <c r="G133" s="27" t="s">
        <v>257</v>
      </c>
      <c r="H133" s="40">
        <f ca="1">Tabel3[[#This Row],[KEHADIRAN]]/100</f>
        <v>0.96</v>
      </c>
    </row>
    <row r="134" spans="2:8" x14ac:dyDescent="0.25">
      <c r="B134" s="27" t="s">
        <v>207</v>
      </c>
      <c r="C134" s="10" t="s">
        <v>952</v>
      </c>
      <c r="D134" s="10" t="s">
        <v>953</v>
      </c>
      <c r="E134" s="27" t="s">
        <v>25</v>
      </c>
      <c r="F134" s="27" t="s">
        <v>32</v>
      </c>
      <c r="G134" s="27" t="s">
        <v>212</v>
      </c>
      <c r="H134" s="40">
        <f ca="1">Tabel3[[#This Row],[KEHADIRAN]]/100</f>
        <v>0.99</v>
      </c>
    </row>
    <row r="135" spans="2:8" x14ac:dyDescent="0.25">
      <c r="B135" s="27" t="s">
        <v>208</v>
      </c>
      <c r="C135" s="10" t="s">
        <v>954</v>
      </c>
      <c r="D135" s="10" t="s">
        <v>955</v>
      </c>
      <c r="E135" s="27" t="s">
        <v>25</v>
      </c>
      <c r="F135" s="27" t="s">
        <v>70</v>
      </c>
      <c r="G135" s="27" t="s">
        <v>130</v>
      </c>
      <c r="H135" s="40">
        <f ca="1">Tabel3[[#This Row],[KEHADIRAN]]/100</f>
        <v>0.9</v>
      </c>
    </row>
    <row r="136" spans="2:8" x14ac:dyDescent="0.25">
      <c r="B136" s="27" t="s">
        <v>209</v>
      </c>
      <c r="C136" s="10" t="s">
        <v>956</v>
      </c>
      <c r="D136" s="10" t="s">
        <v>957</v>
      </c>
      <c r="E136" s="27" t="s">
        <v>31</v>
      </c>
      <c r="F136" s="27" t="s">
        <v>51</v>
      </c>
      <c r="G136" s="27" t="s">
        <v>412</v>
      </c>
      <c r="H136" s="40">
        <f ca="1">Tabel3[[#This Row],[KEHADIRAN]]/100</f>
        <v>0.83</v>
      </c>
    </row>
    <row r="137" spans="2:8" x14ac:dyDescent="0.25">
      <c r="B137" s="27" t="s">
        <v>28</v>
      </c>
      <c r="C137" s="10" t="s">
        <v>958</v>
      </c>
      <c r="D137" s="10" t="s">
        <v>959</v>
      </c>
      <c r="E137" s="27" t="s">
        <v>31</v>
      </c>
      <c r="F137" s="27" t="s">
        <v>51</v>
      </c>
      <c r="G137" s="27" t="s">
        <v>169</v>
      </c>
      <c r="H137" s="40">
        <f ca="1">Tabel3[[#This Row],[KEHADIRAN]]/100</f>
        <v>0.86</v>
      </c>
    </row>
    <row r="138" spans="2:8" x14ac:dyDescent="0.25">
      <c r="B138" s="27" t="s">
        <v>210</v>
      </c>
      <c r="C138" s="10" t="s">
        <v>960</v>
      </c>
      <c r="D138" s="10" t="s">
        <v>961</v>
      </c>
      <c r="E138" s="27" t="s">
        <v>31</v>
      </c>
      <c r="F138" s="27" t="s">
        <v>51</v>
      </c>
      <c r="G138" s="27" t="s">
        <v>146</v>
      </c>
      <c r="H138" s="40">
        <f ca="1">Tabel3[[#This Row],[KEHADIRAN]]/100</f>
        <v>0.92</v>
      </c>
    </row>
    <row r="139" spans="2:8" x14ac:dyDescent="0.25">
      <c r="B139" s="27" t="s">
        <v>211</v>
      </c>
      <c r="C139" s="10" t="s">
        <v>962</v>
      </c>
      <c r="D139" s="10" t="s">
        <v>963</v>
      </c>
      <c r="E139" s="27" t="s">
        <v>31</v>
      </c>
      <c r="F139" s="27" t="s">
        <v>51</v>
      </c>
      <c r="G139" s="27" t="s">
        <v>169</v>
      </c>
      <c r="H139" s="40">
        <f ca="1">Tabel3[[#This Row],[KEHADIRAN]]/100</f>
        <v>0.85</v>
      </c>
    </row>
    <row r="140" spans="2:8" x14ac:dyDescent="0.25">
      <c r="B140" s="27" t="s">
        <v>60</v>
      </c>
      <c r="C140" s="10" t="s">
        <v>964</v>
      </c>
      <c r="D140" s="10" t="s">
        <v>965</v>
      </c>
      <c r="E140" s="27" t="s">
        <v>31</v>
      </c>
      <c r="F140" s="27" t="s">
        <v>51</v>
      </c>
      <c r="G140" s="27" t="s">
        <v>239</v>
      </c>
      <c r="H140" s="40">
        <f ca="1">Tabel3[[#This Row],[KEHADIRAN]]/100</f>
        <v>0.88</v>
      </c>
    </row>
    <row r="141" spans="2:8" x14ac:dyDescent="0.25">
      <c r="B141" s="27" t="s">
        <v>13</v>
      </c>
      <c r="C141" s="10" t="s">
        <v>966</v>
      </c>
      <c r="D141" s="10" t="s">
        <v>967</v>
      </c>
      <c r="E141" s="27" t="s">
        <v>31</v>
      </c>
      <c r="F141" s="27" t="s">
        <v>51</v>
      </c>
      <c r="G141" s="27" t="s">
        <v>229</v>
      </c>
      <c r="H141" s="40">
        <f ca="1">Tabel3[[#This Row],[KEHADIRAN]]/100</f>
        <v>0.95</v>
      </c>
    </row>
    <row r="142" spans="2:8" x14ac:dyDescent="0.25">
      <c r="B142" s="27" t="s">
        <v>214</v>
      </c>
      <c r="C142" s="10" t="s">
        <v>968</v>
      </c>
      <c r="D142" s="10" t="s">
        <v>969</v>
      </c>
      <c r="E142" s="27" t="s">
        <v>31</v>
      </c>
      <c r="F142" s="27" t="s">
        <v>51</v>
      </c>
      <c r="G142" s="27" t="s">
        <v>293</v>
      </c>
      <c r="H142" s="40">
        <f ca="1">Tabel3[[#This Row],[KEHADIRAN]]/100</f>
        <v>0.89</v>
      </c>
    </row>
    <row r="143" spans="2:8" x14ac:dyDescent="0.25">
      <c r="B143" s="27" t="s">
        <v>20</v>
      </c>
      <c r="C143" s="10" t="s">
        <v>970</v>
      </c>
      <c r="D143" s="10" t="s">
        <v>971</v>
      </c>
      <c r="E143" s="27" t="s">
        <v>31</v>
      </c>
      <c r="F143" s="27" t="s">
        <v>51</v>
      </c>
      <c r="G143" s="27" t="s">
        <v>280</v>
      </c>
      <c r="H143" s="40">
        <f ca="1">Tabel3[[#This Row],[KEHADIRAN]]/100</f>
        <v>0.88</v>
      </c>
    </row>
    <row r="144" spans="2:8" x14ac:dyDescent="0.25">
      <c r="B144" s="27" t="s">
        <v>216</v>
      </c>
      <c r="C144" s="10" t="s">
        <v>972</v>
      </c>
      <c r="D144" s="10" t="s">
        <v>973</v>
      </c>
      <c r="E144" s="27" t="s">
        <v>31</v>
      </c>
      <c r="F144" s="27" t="s">
        <v>51</v>
      </c>
      <c r="G144" s="27" t="s">
        <v>298</v>
      </c>
      <c r="H144" s="40">
        <f ca="1">Tabel3[[#This Row],[KEHADIRAN]]/100</f>
        <v>0.84</v>
      </c>
    </row>
    <row r="145" spans="2:8" x14ac:dyDescent="0.25">
      <c r="B145" s="27" t="s">
        <v>7</v>
      </c>
      <c r="C145" s="10" t="s">
        <v>974</v>
      </c>
      <c r="D145" s="10" t="s">
        <v>975</v>
      </c>
      <c r="E145" s="27" t="s">
        <v>31</v>
      </c>
      <c r="F145" s="27" t="s">
        <v>51</v>
      </c>
      <c r="G145" s="27" t="s">
        <v>332</v>
      </c>
      <c r="H145" s="40">
        <f ca="1">Tabel3[[#This Row],[KEHADIRAN]]/100</f>
        <v>0.85</v>
      </c>
    </row>
    <row r="146" spans="2:8" x14ac:dyDescent="0.25">
      <c r="B146" s="27" t="s">
        <v>51</v>
      </c>
      <c r="C146" s="10" t="s">
        <v>976</v>
      </c>
      <c r="D146" s="10" t="s">
        <v>977</v>
      </c>
      <c r="E146" s="27" t="s">
        <v>31</v>
      </c>
      <c r="F146" s="27" t="s">
        <v>51</v>
      </c>
      <c r="G146" s="27" t="s">
        <v>143</v>
      </c>
      <c r="H146" s="40">
        <f ca="1">Tabel3[[#This Row],[KEHADIRAN]]/100</f>
        <v>0.88</v>
      </c>
    </row>
    <row r="147" spans="2:8" x14ac:dyDescent="0.25">
      <c r="B147" s="27" t="s">
        <v>94</v>
      </c>
      <c r="C147" s="10" t="s">
        <v>978</v>
      </c>
      <c r="D147" s="10" t="s">
        <v>979</v>
      </c>
      <c r="E147" s="27" t="s">
        <v>31</v>
      </c>
      <c r="F147" s="27" t="s">
        <v>51</v>
      </c>
      <c r="G147" s="27" t="s">
        <v>257</v>
      </c>
      <c r="H147" s="40">
        <f ca="1">Tabel3[[#This Row],[KEHADIRAN]]/100</f>
        <v>0.8</v>
      </c>
    </row>
    <row r="148" spans="2:8" x14ac:dyDescent="0.25">
      <c r="B148" s="27" t="s">
        <v>26</v>
      </c>
      <c r="C148" s="10" t="s">
        <v>980</v>
      </c>
      <c r="D148" s="10" t="s">
        <v>981</v>
      </c>
      <c r="E148" s="27" t="s">
        <v>31</v>
      </c>
      <c r="F148" s="27" t="s">
        <v>51</v>
      </c>
      <c r="G148" s="27" t="s">
        <v>158</v>
      </c>
      <c r="H148" s="40">
        <f ca="1">Tabel3[[#This Row],[KEHADIRAN]]/100</f>
        <v>0.88</v>
      </c>
    </row>
    <row r="149" spans="2:8" x14ac:dyDescent="0.25">
      <c r="B149" s="27" t="s">
        <v>39</v>
      </c>
      <c r="C149" s="10" t="s">
        <v>982</v>
      </c>
      <c r="D149" s="10" t="s">
        <v>983</v>
      </c>
      <c r="E149" s="27" t="s">
        <v>31</v>
      </c>
      <c r="F149" s="27" t="s">
        <v>51</v>
      </c>
      <c r="G149" s="27" t="s">
        <v>74</v>
      </c>
      <c r="H149" s="40">
        <f ca="1">Tabel3[[#This Row],[KEHADIRAN]]/100</f>
        <v>0.91</v>
      </c>
    </row>
    <row r="150" spans="2:8" x14ac:dyDescent="0.25">
      <c r="B150" s="27" t="s">
        <v>32</v>
      </c>
      <c r="C150" s="10" t="s">
        <v>984</v>
      </c>
      <c r="D150" s="10" t="s">
        <v>985</v>
      </c>
      <c r="E150" s="27" t="s">
        <v>31</v>
      </c>
      <c r="F150" s="27" t="s">
        <v>164</v>
      </c>
      <c r="G150" s="27" t="s">
        <v>36</v>
      </c>
      <c r="H150" s="40">
        <f ca="1">Tabel3[[#This Row],[KEHADIRAN]]/100</f>
        <v>0.99</v>
      </c>
    </row>
    <row r="151" spans="2:8" x14ac:dyDescent="0.25">
      <c r="B151" s="27" t="s">
        <v>77</v>
      </c>
      <c r="C151" s="10" t="s">
        <v>986</v>
      </c>
      <c r="D151" s="10" t="s">
        <v>406</v>
      </c>
      <c r="E151" s="27" t="s">
        <v>31</v>
      </c>
      <c r="F151" s="27" t="s">
        <v>51</v>
      </c>
      <c r="G151" s="27" t="s">
        <v>332</v>
      </c>
      <c r="H151" s="40">
        <f ca="1">Tabel3[[#This Row],[KEHADIRAN]]/100</f>
        <v>0.88</v>
      </c>
    </row>
    <row r="152" spans="2:8" x14ac:dyDescent="0.25">
      <c r="B152" s="27" t="s">
        <v>53</v>
      </c>
      <c r="C152" s="10" t="s">
        <v>987</v>
      </c>
      <c r="D152" s="10" t="s">
        <v>988</v>
      </c>
      <c r="E152" s="27" t="s">
        <v>31</v>
      </c>
      <c r="F152" s="27" t="s">
        <v>51</v>
      </c>
      <c r="G152" s="27" t="s">
        <v>172</v>
      </c>
      <c r="H152" s="40">
        <f ca="1">Tabel3[[#This Row],[KEHADIRAN]]/100</f>
        <v>0.96</v>
      </c>
    </row>
    <row r="153" spans="2:8" x14ac:dyDescent="0.25">
      <c r="B153" s="27" t="s">
        <v>42</v>
      </c>
      <c r="C153" s="10" t="s">
        <v>989</v>
      </c>
      <c r="D153" s="10" t="s">
        <v>990</v>
      </c>
      <c r="E153" s="27" t="s">
        <v>31</v>
      </c>
      <c r="F153" s="27" t="s">
        <v>51</v>
      </c>
      <c r="G153" s="27" t="s">
        <v>115</v>
      </c>
      <c r="H153" s="40">
        <f ca="1">Tabel3[[#This Row],[KEHADIRAN]]/100</f>
        <v>0.8</v>
      </c>
    </row>
    <row r="154" spans="2:8" x14ac:dyDescent="0.25">
      <c r="B154" s="27" t="s">
        <v>135</v>
      </c>
      <c r="C154" s="10" t="s">
        <v>991</v>
      </c>
      <c r="D154" s="10" t="s">
        <v>992</v>
      </c>
      <c r="E154" s="27" t="s">
        <v>31</v>
      </c>
      <c r="F154" s="27" t="s">
        <v>51</v>
      </c>
      <c r="G154" s="27" t="s">
        <v>267</v>
      </c>
      <c r="H154" s="40">
        <f ca="1">Tabel3[[#This Row],[KEHADIRAN]]/100</f>
        <v>0.98</v>
      </c>
    </row>
    <row r="155" spans="2:8" x14ac:dyDescent="0.25">
      <c r="B155" s="27" t="s">
        <v>70</v>
      </c>
      <c r="C155" s="10" t="s">
        <v>993</v>
      </c>
      <c r="D155" s="10" t="s">
        <v>994</v>
      </c>
      <c r="E155" s="27" t="s">
        <v>31</v>
      </c>
      <c r="F155" s="27" t="s">
        <v>51</v>
      </c>
      <c r="G155" s="27" t="s">
        <v>139</v>
      </c>
      <c r="H155" s="40">
        <f ca="1">Tabel3[[#This Row],[KEHADIRAN]]/100</f>
        <v>0.95</v>
      </c>
    </row>
    <row r="156" spans="2:8" x14ac:dyDescent="0.25">
      <c r="B156" s="27" t="s">
        <v>222</v>
      </c>
      <c r="C156" s="10" t="s">
        <v>995</v>
      </c>
      <c r="D156" s="10" t="s">
        <v>996</v>
      </c>
      <c r="E156" s="27" t="s">
        <v>31</v>
      </c>
      <c r="F156" s="27" t="s">
        <v>51</v>
      </c>
      <c r="G156" s="27" t="s">
        <v>293</v>
      </c>
      <c r="H156" s="40">
        <f ca="1">Tabel3[[#This Row],[KEHADIRAN]]/100</f>
        <v>0.99</v>
      </c>
    </row>
    <row r="157" spans="2:8" x14ac:dyDescent="0.25">
      <c r="B157" s="27" t="s">
        <v>57</v>
      </c>
      <c r="C157" s="10" t="s">
        <v>997</v>
      </c>
      <c r="D157" s="10" t="s">
        <v>998</v>
      </c>
      <c r="E157" s="27" t="s">
        <v>31</v>
      </c>
      <c r="F157" s="27" t="s">
        <v>51</v>
      </c>
      <c r="G157" s="27" t="s">
        <v>127</v>
      </c>
      <c r="H157" s="40">
        <f ca="1">Tabel3[[#This Row],[KEHADIRAN]]/100</f>
        <v>0.91</v>
      </c>
    </row>
    <row r="158" spans="2:8" x14ac:dyDescent="0.25">
      <c r="B158" s="27" t="s">
        <v>219</v>
      </c>
      <c r="C158" s="10" t="s">
        <v>999</v>
      </c>
      <c r="D158" s="10" t="s">
        <v>1000</v>
      </c>
      <c r="E158" s="27" t="s">
        <v>31</v>
      </c>
      <c r="F158" s="27" t="s">
        <v>51</v>
      </c>
      <c r="G158" s="27" t="s">
        <v>412</v>
      </c>
      <c r="H158" s="40">
        <f ca="1">Tabel3[[#This Row],[KEHADIRAN]]/100</f>
        <v>0.91</v>
      </c>
    </row>
    <row r="159" spans="2:8" x14ac:dyDescent="0.25">
      <c r="B159" s="27" t="s">
        <v>88</v>
      </c>
      <c r="C159" s="10" t="s">
        <v>1001</v>
      </c>
      <c r="D159" s="10" t="s">
        <v>1002</v>
      </c>
      <c r="E159" s="27" t="s">
        <v>31</v>
      </c>
      <c r="F159" s="27" t="s">
        <v>51</v>
      </c>
      <c r="G159" s="27" t="s">
        <v>332</v>
      </c>
      <c r="H159" s="40">
        <f ca="1">Tabel3[[#This Row],[KEHADIRAN]]/100</f>
        <v>0.8</v>
      </c>
    </row>
    <row r="160" spans="2:8" x14ac:dyDescent="0.25">
      <c r="B160" s="27" t="s">
        <v>223</v>
      </c>
      <c r="C160" s="10" t="s">
        <v>1003</v>
      </c>
      <c r="D160" s="10" t="s">
        <v>1004</v>
      </c>
      <c r="E160" s="27" t="s">
        <v>31</v>
      </c>
      <c r="F160" s="27" t="s">
        <v>51</v>
      </c>
      <c r="G160" s="27" t="s">
        <v>402</v>
      </c>
      <c r="H160" s="40">
        <f ca="1">Tabel3[[#This Row],[KEHADIRAN]]/100</f>
        <v>0.91</v>
      </c>
    </row>
    <row r="161" spans="2:8" x14ac:dyDescent="0.25">
      <c r="B161" s="27" t="s">
        <v>224</v>
      </c>
      <c r="C161" s="10" t="s">
        <v>1005</v>
      </c>
      <c r="D161" s="10" t="s">
        <v>1006</v>
      </c>
      <c r="E161" s="27" t="s">
        <v>31</v>
      </c>
      <c r="F161" s="27" t="s">
        <v>51</v>
      </c>
      <c r="G161" s="27" t="s">
        <v>414</v>
      </c>
      <c r="H161" s="40">
        <f ca="1">Tabel3[[#This Row],[KEHADIRAN]]/100</f>
        <v>0.8</v>
      </c>
    </row>
    <row r="162" spans="2:8" x14ac:dyDescent="0.25">
      <c r="B162" s="27" t="s">
        <v>225</v>
      </c>
      <c r="C162" s="10" t="s">
        <v>1007</v>
      </c>
      <c r="D162" s="10" t="s">
        <v>1008</v>
      </c>
      <c r="E162" s="27" t="s">
        <v>31</v>
      </c>
      <c r="F162" s="27" t="s">
        <v>51</v>
      </c>
      <c r="G162" s="27" t="s">
        <v>409</v>
      </c>
      <c r="H162" s="40">
        <f ca="1">Tabel3[[#This Row],[KEHADIRAN]]/100</f>
        <v>0.85</v>
      </c>
    </row>
    <row r="163" spans="2:8" x14ac:dyDescent="0.25">
      <c r="B163" s="27" t="s">
        <v>226</v>
      </c>
      <c r="C163" s="10" t="s">
        <v>1009</v>
      </c>
      <c r="D163" s="10" t="s">
        <v>1010</v>
      </c>
      <c r="E163" s="27" t="s">
        <v>319</v>
      </c>
      <c r="F163" s="27" t="s">
        <v>109</v>
      </c>
      <c r="G163" s="27" t="s">
        <v>355</v>
      </c>
      <c r="H163" s="40">
        <v>0</v>
      </c>
    </row>
    <row r="164" spans="2:8" x14ac:dyDescent="0.25">
      <c r="B164" s="27" t="s">
        <v>228</v>
      </c>
      <c r="C164" s="10" t="s">
        <v>1011</v>
      </c>
      <c r="D164" s="10" t="s">
        <v>1012</v>
      </c>
      <c r="E164" s="27" t="s">
        <v>31</v>
      </c>
      <c r="F164" s="27" t="s">
        <v>51</v>
      </c>
      <c r="G164" s="27" t="s">
        <v>280</v>
      </c>
      <c r="H164" s="40">
        <f ca="1">Tabel3[[#This Row],[KEHADIRAN]]/100</f>
        <v>0.93</v>
      </c>
    </row>
    <row r="165" spans="2:8" x14ac:dyDescent="0.25">
      <c r="B165" s="27" t="s">
        <v>230</v>
      </c>
      <c r="C165" s="10" t="s">
        <v>1013</v>
      </c>
      <c r="D165" s="10" t="s">
        <v>1014</v>
      </c>
      <c r="E165" s="27" t="s">
        <v>31</v>
      </c>
      <c r="F165" s="27" t="s">
        <v>51</v>
      </c>
      <c r="G165" s="27" t="s">
        <v>323</v>
      </c>
      <c r="H165" s="40">
        <f ca="1">Tabel3[[#This Row],[KEHADIRAN]]/100</f>
        <v>0.8</v>
      </c>
    </row>
    <row r="166" spans="2:8" x14ac:dyDescent="0.25">
      <c r="B166" s="27" t="s">
        <v>231</v>
      </c>
      <c r="C166" s="10" t="s">
        <v>1015</v>
      </c>
      <c r="D166" s="10" t="s">
        <v>1016</v>
      </c>
      <c r="E166" s="27" t="s">
        <v>31</v>
      </c>
      <c r="F166" s="27" t="s">
        <v>51</v>
      </c>
      <c r="G166" s="27" t="s">
        <v>143</v>
      </c>
      <c r="H166" s="40">
        <f ca="1">Tabel3[[#This Row],[KEHADIRAN]]/100</f>
        <v>0.86</v>
      </c>
    </row>
    <row r="167" spans="2:8" x14ac:dyDescent="0.25">
      <c r="B167" s="27" t="s">
        <v>232</v>
      </c>
      <c r="C167" s="10" t="s">
        <v>1017</v>
      </c>
      <c r="D167" s="10" t="s">
        <v>1018</v>
      </c>
      <c r="E167" s="27" t="s">
        <v>31</v>
      </c>
      <c r="F167" s="27" t="s">
        <v>51</v>
      </c>
      <c r="G167" s="27" t="s">
        <v>117</v>
      </c>
      <c r="H167" s="40">
        <f ca="1">Tabel3[[#This Row],[KEHADIRAN]]/100</f>
        <v>0.92</v>
      </c>
    </row>
    <row r="168" spans="2:8" x14ac:dyDescent="0.25">
      <c r="B168" s="27" t="s">
        <v>233</v>
      </c>
      <c r="C168" s="10" t="s">
        <v>1019</v>
      </c>
      <c r="D168" s="10" t="s">
        <v>1020</v>
      </c>
      <c r="E168" s="27" t="s">
        <v>31</v>
      </c>
      <c r="F168" s="27" t="s">
        <v>51</v>
      </c>
      <c r="G168" s="27" t="s">
        <v>355</v>
      </c>
      <c r="H168" s="40">
        <f ca="1">Tabel3[[#This Row],[KEHADIRAN]]/100</f>
        <v>0.98</v>
      </c>
    </row>
    <row r="169" spans="2:8" x14ac:dyDescent="0.25">
      <c r="B169" s="27" t="s">
        <v>235</v>
      </c>
      <c r="C169" s="10" t="s">
        <v>1021</v>
      </c>
      <c r="D169" s="10" t="s">
        <v>1022</v>
      </c>
      <c r="E169" s="27" t="s">
        <v>31</v>
      </c>
      <c r="F169" s="27" t="s">
        <v>51</v>
      </c>
      <c r="G169" s="27" t="s">
        <v>418</v>
      </c>
      <c r="H169" s="40">
        <f ca="1">Tabel3[[#This Row],[KEHADIRAN]]/100</f>
        <v>0.85</v>
      </c>
    </row>
    <row r="170" spans="2:8" x14ac:dyDescent="0.25">
      <c r="B170" s="27" t="s">
        <v>236</v>
      </c>
      <c r="C170" s="10" t="s">
        <v>1023</v>
      </c>
      <c r="D170" s="10" t="s">
        <v>1024</v>
      </c>
      <c r="E170" s="27" t="s">
        <v>31</v>
      </c>
      <c r="F170" s="27" t="s">
        <v>51</v>
      </c>
      <c r="G170" s="27" t="s">
        <v>241</v>
      </c>
      <c r="H170" s="40">
        <f ca="1">Tabel3[[#This Row],[KEHADIRAN]]/100</f>
        <v>0.8</v>
      </c>
    </row>
    <row r="171" spans="2:8" x14ac:dyDescent="0.25">
      <c r="B171" s="27" t="s">
        <v>237</v>
      </c>
      <c r="C171" s="10" t="s">
        <v>1025</v>
      </c>
      <c r="D171" s="10" t="s">
        <v>1026</v>
      </c>
      <c r="E171" s="27" t="s">
        <v>31</v>
      </c>
      <c r="F171" s="27" t="s">
        <v>51</v>
      </c>
      <c r="G171" s="27" t="s">
        <v>146</v>
      </c>
      <c r="H171" s="40">
        <f ca="1">Tabel3[[#This Row],[KEHADIRAN]]/100</f>
        <v>0.94</v>
      </c>
    </row>
    <row r="172" spans="2:8" x14ac:dyDescent="0.25">
      <c r="B172" s="27" t="s">
        <v>238</v>
      </c>
      <c r="C172" s="10" t="s">
        <v>1027</v>
      </c>
      <c r="D172" s="10" t="s">
        <v>1028</v>
      </c>
      <c r="E172" s="27" t="s">
        <v>31</v>
      </c>
      <c r="F172" s="27" t="s">
        <v>51</v>
      </c>
      <c r="G172" s="27" t="s">
        <v>234</v>
      </c>
      <c r="H172" s="40">
        <f ca="1">Tabel3[[#This Row],[KEHADIRAN]]/100</f>
        <v>0.9</v>
      </c>
    </row>
    <row r="173" spans="2:8" x14ac:dyDescent="0.25">
      <c r="B173" s="27" t="s">
        <v>240</v>
      </c>
      <c r="C173" s="10" t="s">
        <v>1029</v>
      </c>
      <c r="D173" s="10" t="s">
        <v>1030</v>
      </c>
      <c r="E173" s="27" t="s">
        <v>31</v>
      </c>
      <c r="F173" s="27" t="s">
        <v>51</v>
      </c>
      <c r="G173" s="27" t="s">
        <v>143</v>
      </c>
      <c r="H173" s="40">
        <f ca="1">Tabel3[[#This Row],[KEHADIRAN]]/100</f>
        <v>0.93</v>
      </c>
    </row>
    <row r="174" spans="2:8" x14ac:dyDescent="0.25">
      <c r="B174" s="27" t="s">
        <v>242</v>
      </c>
      <c r="C174" s="10" t="s">
        <v>1031</v>
      </c>
      <c r="D174" s="10" t="s">
        <v>825</v>
      </c>
      <c r="E174" s="27" t="s">
        <v>31</v>
      </c>
      <c r="F174" s="27" t="s">
        <v>135</v>
      </c>
      <c r="G174" s="27" t="s">
        <v>121</v>
      </c>
      <c r="H174" s="40">
        <f ca="1">Tabel3[[#This Row],[KEHADIRAN]]/100</f>
        <v>0.87</v>
      </c>
    </row>
    <row r="175" spans="2:8" x14ac:dyDescent="0.25">
      <c r="B175" s="27" t="s">
        <v>243</v>
      </c>
      <c r="C175" s="10" t="s">
        <v>1032</v>
      </c>
      <c r="D175" s="10" t="s">
        <v>1033</v>
      </c>
      <c r="E175" s="27" t="s">
        <v>31</v>
      </c>
      <c r="F175" s="27" t="s">
        <v>51</v>
      </c>
      <c r="G175" s="27" t="s">
        <v>280</v>
      </c>
      <c r="H175" s="40">
        <f ca="1">Tabel3[[#This Row],[KEHADIRAN]]/100</f>
        <v>0.86</v>
      </c>
    </row>
    <row r="176" spans="2:8" x14ac:dyDescent="0.25">
      <c r="B176" s="27" t="s">
        <v>245</v>
      </c>
      <c r="C176" s="10" t="s">
        <v>1034</v>
      </c>
      <c r="D176" s="10" t="s">
        <v>1035</v>
      </c>
      <c r="E176" s="27" t="s">
        <v>31</v>
      </c>
      <c r="F176" s="27" t="s">
        <v>51</v>
      </c>
      <c r="G176" s="27" t="s">
        <v>177</v>
      </c>
      <c r="H176" s="40">
        <f ca="1">Tabel3[[#This Row],[KEHADIRAN]]/100</f>
        <v>0.99</v>
      </c>
    </row>
    <row r="177" spans="2:8" x14ac:dyDescent="0.25">
      <c r="B177" s="27" t="s">
        <v>246</v>
      </c>
      <c r="C177" s="10" t="s">
        <v>1036</v>
      </c>
      <c r="D177" s="10" t="s">
        <v>1037</v>
      </c>
      <c r="E177" s="27" t="s">
        <v>31</v>
      </c>
      <c r="F177" s="27" t="s">
        <v>51</v>
      </c>
      <c r="G177" s="27" t="s">
        <v>80</v>
      </c>
      <c r="H177" s="40">
        <f ca="1">Tabel3[[#This Row],[KEHADIRAN]]/100</f>
        <v>0.92</v>
      </c>
    </row>
    <row r="178" spans="2:8" x14ac:dyDescent="0.25">
      <c r="B178" s="27" t="s">
        <v>247</v>
      </c>
      <c r="C178" s="10" t="s">
        <v>1038</v>
      </c>
      <c r="D178" s="10" t="s">
        <v>1039</v>
      </c>
      <c r="E178" s="27" t="s">
        <v>31</v>
      </c>
      <c r="F178" s="27" t="s">
        <v>51</v>
      </c>
      <c r="G178" s="27" t="s">
        <v>146</v>
      </c>
      <c r="H178" s="40">
        <f ca="1">Tabel3[[#This Row],[KEHADIRAN]]/100</f>
        <v>0.89</v>
      </c>
    </row>
    <row r="179" spans="2:8" x14ac:dyDescent="0.25">
      <c r="B179" s="27" t="s">
        <v>249</v>
      </c>
      <c r="C179" s="10" t="s">
        <v>1040</v>
      </c>
      <c r="D179" s="10" t="s">
        <v>1041</v>
      </c>
      <c r="E179" s="27" t="s">
        <v>31</v>
      </c>
      <c r="F179" s="27" t="s">
        <v>51</v>
      </c>
      <c r="G179" s="27" t="s">
        <v>234</v>
      </c>
      <c r="H179" s="40">
        <f ca="1">Tabel3[[#This Row],[KEHADIRAN]]/100</f>
        <v>0.81</v>
      </c>
    </row>
    <row r="180" spans="2:8" x14ac:dyDescent="0.25">
      <c r="B180" s="27" t="s">
        <v>250</v>
      </c>
      <c r="C180" s="10" t="s">
        <v>1042</v>
      </c>
      <c r="D180" s="10" t="s">
        <v>1043</v>
      </c>
      <c r="E180" s="27" t="s">
        <v>31</v>
      </c>
      <c r="F180" s="27" t="s">
        <v>51</v>
      </c>
      <c r="G180" s="27" t="s">
        <v>248</v>
      </c>
      <c r="H180" s="40">
        <f ca="1">Tabel3[[#This Row],[KEHADIRAN]]/100</f>
        <v>0.84</v>
      </c>
    </row>
    <row r="181" spans="2:8" x14ac:dyDescent="0.25">
      <c r="B181" s="27" t="s">
        <v>251</v>
      </c>
      <c r="C181" s="10" t="s">
        <v>1044</v>
      </c>
      <c r="D181" s="10" t="s">
        <v>1045</v>
      </c>
      <c r="E181" s="27" t="s">
        <v>31</v>
      </c>
      <c r="F181" s="27" t="s">
        <v>51</v>
      </c>
      <c r="G181" s="27" t="s">
        <v>121</v>
      </c>
      <c r="H181" s="40">
        <f ca="1">Tabel3[[#This Row],[KEHADIRAN]]/100</f>
        <v>0.89</v>
      </c>
    </row>
    <row r="182" spans="2:8" x14ac:dyDescent="0.25">
      <c r="B182" s="27" t="s">
        <v>253</v>
      </c>
      <c r="C182" s="10" t="s">
        <v>1046</v>
      </c>
      <c r="D182" s="10" t="s">
        <v>1047</v>
      </c>
      <c r="E182" s="27" t="s">
        <v>31</v>
      </c>
      <c r="F182" s="27" t="s">
        <v>51</v>
      </c>
      <c r="G182" s="27" t="s">
        <v>169</v>
      </c>
      <c r="H182" s="40">
        <f ca="1">Tabel3[[#This Row],[KEHADIRAN]]/100</f>
        <v>0.92</v>
      </c>
    </row>
    <row r="183" spans="2:8" x14ac:dyDescent="0.25">
      <c r="B183" s="27" t="s">
        <v>255</v>
      </c>
      <c r="C183" s="10" t="s">
        <v>1048</v>
      </c>
      <c r="D183" s="10" t="s">
        <v>274</v>
      </c>
      <c r="E183" s="27" t="s">
        <v>31</v>
      </c>
      <c r="F183" s="27" t="s">
        <v>51</v>
      </c>
      <c r="G183" s="27" t="s">
        <v>74</v>
      </c>
      <c r="H183" s="40">
        <f ca="1">Tabel3[[#This Row],[KEHADIRAN]]/100</f>
        <v>0.87</v>
      </c>
    </row>
    <row r="184" spans="2:8" x14ac:dyDescent="0.25">
      <c r="B184" s="27" t="s">
        <v>256</v>
      </c>
      <c r="C184" s="10" t="s">
        <v>1049</v>
      </c>
      <c r="D184" s="10" t="s">
        <v>1050</v>
      </c>
      <c r="E184" s="27" t="s">
        <v>31</v>
      </c>
      <c r="F184" s="27" t="s">
        <v>51</v>
      </c>
      <c r="G184" s="27" t="s">
        <v>185</v>
      </c>
      <c r="H184" s="40">
        <f ca="1">Tabel3[[#This Row],[KEHADIRAN]]/100</f>
        <v>0.94</v>
      </c>
    </row>
    <row r="185" spans="2:8" x14ac:dyDescent="0.25">
      <c r="B185" s="27" t="s">
        <v>258</v>
      </c>
      <c r="C185" s="10" t="s">
        <v>1051</v>
      </c>
      <c r="D185" s="10" t="s">
        <v>1052</v>
      </c>
      <c r="E185" s="27" t="s">
        <v>31</v>
      </c>
      <c r="F185" s="27" t="s">
        <v>51</v>
      </c>
      <c r="G185" s="27" t="s">
        <v>257</v>
      </c>
      <c r="H185" s="40">
        <f ca="1">Tabel3[[#This Row],[KEHADIRAN]]/100</f>
        <v>0.82</v>
      </c>
    </row>
    <row r="186" spans="2:8" x14ac:dyDescent="0.25">
      <c r="B186" s="27" t="s">
        <v>260</v>
      </c>
      <c r="C186" s="10" t="s">
        <v>1053</v>
      </c>
      <c r="D186" s="10" t="s">
        <v>1054</v>
      </c>
      <c r="E186" s="27" t="s">
        <v>31</v>
      </c>
      <c r="F186" s="27" t="s">
        <v>51</v>
      </c>
      <c r="G186" s="27" t="s">
        <v>215</v>
      </c>
      <c r="H186" s="40">
        <f ca="1">Tabel3[[#This Row],[KEHADIRAN]]/100</f>
        <v>0.95</v>
      </c>
    </row>
    <row r="187" spans="2:8" x14ac:dyDescent="0.25">
      <c r="B187" s="27" t="s">
        <v>261</v>
      </c>
      <c r="C187" s="10" t="s">
        <v>1055</v>
      </c>
      <c r="D187" s="10" t="s">
        <v>1056</v>
      </c>
      <c r="E187" s="27" t="s">
        <v>31</v>
      </c>
      <c r="F187" s="27" t="s">
        <v>51</v>
      </c>
      <c r="G187" s="27" t="s">
        <v>190</v>
      </c>
      <c r="H187" s="40">
        <f ca="1">Tabel3[[#This Row],[KEHADIRAN]]/100</f>
        <v>0.95</v>
      </c>
    </row>
    <row r="188" spans="2:8" x14ac:dyDescent="0.25">
      <c r="B188" s="27" t="s">
        <v>263</v>
      </c>
      <c r="C188" s="10" t="s">
        <v>1060</v>
      </c>
      <c r="D188" s="10" t="s">
        <v>1061</v>
      </c>
      <c r="E188" s="27" t="s">
        <v>31</v>
      </c>
      <c r="F188" s="27" t="s">
        <v>51</v>
      </c>
      <c r="G188" s="27" t="s">
        <v>212</v>
      </c>
      <c r="H188" s="40">
        <f ca="1">Tabel3[[#This Row],[KEHADIRAN]]/100</f>
        <v>0.93</v>
      </c>
    </row>
    <row r="189" spans="2:8" x14ac:dyDescent="0.25">
      <c r="B189" s="27" t="s">
        <v>264</v>
      </c>
      <c r="C189" s="10" t="s">
        <v>1062</v>
      </c>
      <c r="D189" s="10" t="s">
        <v>1063</v>
      </c>
      <c r="E189" s="27" t="s">
        <v>31</v>
      </c>
      <c r="F189" s="27" t="s">
        <v>51</v>
      </c>
      <c r="G189" s="27" t="s">
        <v>141</v>
      </c>
      <c r="H189" s="40">
        <f ca="1">Tabel3[[#This Row],[KEHADIRAN]]/100</f>
        <v>0.81</v>
      </c>
    </row>
    <row r="190" spans="2:8" x14ac:dyDescent="0.25">
      <c r="B190" s="27" t="s">
        <v>265</v>
      </c>
      <c r="C190" s="10" t="s">
        <v>1064</v>
      </c>
      <c r="D190" s="10" t="s">
        <v>419</v>
      </c>
      <c r="E190" s="27" t="s">
        <v>31</v>
      </c>
      <c r="F190" s="27" t="s">
        <v>51</v>
      </c>
      <c r="G190" s="27" t="s">
        <v>111</v>
      </c>
      <c r="H190" s="40">
        <f ca="1">Tabel3[[#This Row],[KEHADIRAN]]/100</f>
        <v>0.97</v>
      </c>
    </row>
    <row r="191" spans="2:8" x14ac:dyDescent="0.25">
      <c r="B191" s="27" t="s">
        <v>266</v>
      </c>
      <c r="C191" s="10" t="s">
        <v>1065</v>
      </c>
      <c r="D191" s="10" t="s">
        <v>1066</v>
      </c>
      <c r="E191" s="27" t="s">
        <v>31</v>
      </c>
      <c r="F191" s="27" t="s">
        <v>51</v>
      </c>
      <c r="G191" s="27" t="s">
        <v>248</v>
      </c>
      <c r="H191" s="40">
        <f ca="1">Tabel3[[#This Row],[KEHADIRAN]]/100</f>
        <v>0.98</v>
      </c>
    </row>
    <row r="192" spans="2:8" x14ac:dyDescent="0.25">
      <c r="B192" s="27" t="s">
        <v>268</v>
      </c>
      <c r="C192" s="10" t="s">
        <v>1067</v>
      </c>
      <c r="D192" s="10" t="s">
        <v>1068</v>
      </c>
      <c r="E192" s="27" t="s">
        <v>31</v>
      </c>
      <c r="F192" s="27" t="s">
        <v>51</v>
      </c>
      <c r="G192" s="27" t="s">
        <v>188</v>
      </c>
      <c r="H192" s="40">
        <f ca="1">Tabel3[[#This Row],[KEHADIRAN]]/100</f>
        <v>0.94</v>
      </c>
    </row>
    <row r="193" spans="2:8" x14ac:dyDescent="0.25">
      <c r="B193" s="27" t="s">
        <v>270</v>
      </c>
      <c r="C193" s="10" t="s">
        <v>1069</v>
      </c>
      <c r="D193" s="10" t="s">
        <v>1070</v>
      </c>
      <c r="E193" s="27" t="s">
        <v>31</v>
      </c>
      <c r="F193" s="27" t="s">
        <v>51</v>
      </c>
      <c r="G193" s="27" t="s">
        <v>188</v>
      </c>
      <c r="H193" s="40">
        <f ca="1">Tabel3[[#This Row],[KEHADIRAN]]/100</f>
        <v>0.99</v>
      </c>
    </row>
    <row r="194" spans="2:8" x14ac:dyDescent="0.25">
      <c r="B194" s="27" t="s">
        <v>272</v>
      </c>
      <c r="C194" s="10" t="s">
        <v>1071</v>
      </c>
      <c r="D194" s="10" t="s">
        <v>1072</v>
      </c>
      <c r="E194" s="27" t="s">
        <v>31</v>
      </c>
      <c r="F194" s="27" t="s">
        <v>51</v>
      </c>
      <c r="G194" s="27" t="s">
        <v>132</v>
      </c>
      <c r="H194" s="40">
        <f ca="1">Tabel3[[#This Row],[KEHADIRAN]]/100</f>
        <v>0.95</v>
      </c>
    </row>
    <row r="195" spans="2:8" x14ac:dyDescent="0.25">
      <c r="B195" s="27" t="s">
        <v>273</v>
      </c>
      <c r="C195" s="10" t="s">
        <v>1073</v>
      </c>
      <c r="D195" s="10" t="s">
        <v>1074</v>
      </c>
      <c r="E195" s="27" t="s">
        <v>31</v>
      </c>
      <c r="F195" s="27" t="s">
        <v>51</v>
      </c>
      <c r="G195" s="27" t="s">
        <v>113</v>
      </c>
      <c r="H195" s="40">
        <f ca="1">Tabel3[[#This Row],[KEHADIRAN]]/100</f>
        <v>0.85</v>
      </c>
    </row>
    <row r="196" spans="2:8" x14ac:dyDescent="0.25">
      <c r="B196" s="27" t="s">
        <v>275</v>
      </c>
      <c r="C196" s="10" t="s">
        <v>1075</v>
      </c>
      <c r="D196" s="10" t="s">
        <v>1076</v>
      </c>
      <c r="E196" s="27" t="s">
        <v>31</v>
      </c>
      <c r="F196" s="27" t="s">
        <v>51</v>
      </c>
      <c r="G196" s="27" t="s">
        <v>402</v>
      </c>
      <c r="H196" s="40">
        <f ca="1">Tabel3[[#This Row],[KEHADIRAN]]/100</f>
        <v>0.87</v>
      </c>
    </row>
    <row r="197" spans="2:8" x14ac:dyDescent="0.25">
      <c r="B197" s="27" t="s">
        <v>278</v>
      </c>
      <c r="C197" s="10" t="s">
        <v>1079</v>
      </c>
      <c r="D197" s="10" t="s">
        <v>1080</v>
      </c>
      <c r="E197" s="27" t="s">
        <v>31</v>
      </c>
      <c r="F197" s="27" t="s">
        <v>223</v>
      </c>
      <c r="G197" s="27" t="s">
        <v>1081</v>
      </c>
      <c r="H197" s="40">
        <f ca="1">Tabel3[[#This Row],[KEHADIRAN]]/100</f>
        <v>0.86</v>
      </c>
    </row>
    <row r="198" spans="2:8" x14ac:dyDescent="0.25">
      <c r="B198" s="27" t="s">
        <v>279</v>
      </c>
      <c r="C198" s="10" t="s">
        <v>1082</v>
      </c>
      <c r="D198" s="10" t="s">
        <v>1083</v>
      </c>
      <c r="E198" s="27" t="s">
        <v>31</v>
      </c>
      <c r="F198" s="27" t="s">
        <v>51</v>
      </c>
      <c r="G198" s="27" t="s">
        <v>122</v>
      </c>
      <c r="H198" s="40">
        <f ca="1">Tabel3[[#This Row],[KEHADIRAN]]/100</f>
        <v>0.94</v>
      </c>
    </row>
    <row r="199" spans="2:8" x14ac:dyDescent="0.25">
      <c r="B199" s="27" t="s">
        <v>281</v>
      </c>
      <c r="C199" s="10" t="s">
        <v>1084</v>
      </c>
      <c r="D199" s="10" t="s">
        <v>1085</v>
      </c>
      <c r="E199" s="27" t="s">
        <v>31</v>
      </c>
      <c r="F199" s="27" t="s">
        <v>51</v>
      </c>
      <c r="G199" s="27" t="s">
        <v>181</v>
      </c>
      <c r="H199" s="40">
        <f ca="1">Tabel3[[#This Row],[KEHADIRAN]]/100</f>
        <v>0.85</v>
      </c>
    </row>
    <row r="200" spans="2:8" x14ac:dyDescent="0.25">
      <c r="B200" s="27" t="s">
        <v>282</v>
      </c>
      <c r="C200" s="10" t="s">
        <v>1086</v>
      </c>
      <c r="D200" s="10" t="s">
        <v>221</v>
      </c>
      <c r="E200" s="27" t="s">
        <v>31</v>
      </c>
      <c r="F200" s="27" t="s">
        <v>51</v>
      </c>
      <c r="G200" s="27" t="s">
        <v>130</v>
      </c>
      <c r="H200" s="40">
        <f ca="1">Tabel3[[#This Row],[KEHADIRAN]]/100</f>
        <v>0.96</v>
      </c>
    </row>
    <row r="201" spans="2:8" x14ac:dyDescent="0.25">
      <c r="B201" s="27" t="s">
        <v>283</v>
      </c>
      <c r="C201" s="10" t="s">
        <v>1087</v>
      </c>
      <c r="D201" s="10" t="s">
        <v>1088</v>
      </c>
      <c r="E201" s="27" t="s">
        <v>31</v>
      </c>
      <c r="F201" s="27" t="s">
        <v>164</v>
      </c>
      <c r="G201" s="27" t="s">
        <v>733</v>
      </c>
      <c r="H201" s="40">
        <f ca="1">Tabel3[[#This Row],[KEHADIRAN]]/100</f>
        <v>0.81</v>
      </c>
    </row>
    <row r="202" spans="2:8" x14ac:dyDescent="0.25">
      <c r="B202" s="27" t="s">
        <v>284</v>
      </c>
      <c r="C202" s="10" t="s">
        <v>1089</v>
      </c>
      <c r="D202" s="10" t="s">
        <v>1090</v>
      </c>
      <c r="E202" s="27" t="s">
        <v>319</v>
      </c>
      <c r="F202" s="27" t="s">
        <v>109</v>
      </c>
      <c r="G202" s="27" t="s">
        <v>288</v>
      </c>
      <c r="H202" s="40">
        <v>0</v>
      </c>
    </row>
    <row r="203" spans="2:8" x14ac:dyDescent="0.25">
      <c r="B203" s="27" t="s">
        <v>285</v>
      </c>
      <c r="C203" s="10" t="s">
        <v>1091</v>
      </c>
      <c r="D203" s="10" t="s">
        <v>1092</v>
      </c>
      <c r="E203" s="27" t="s">
        <v>31</v>
      </c>
      <c r="F203" s="27" t="s">
        <v>51</v>
      </c>
      <c r="G203" s="27" t="s">
        <v>169</v>
      </c>
      <c r="H203" s="40">
        <f ca="1">Tabel3[[#This Row],[KEHADIRAN]]/100</f>
        <v>0.88</v>
      </c>
    </row>
    <row r="204" spans="2:8" x14ac:dyDescent="0.25">
      <c r="B204" s="27" t="s">
        <v>286</v>
      </c>
      <c r="C204" s="10" t="s">
        <v>1093</v>
      </c>
      <c r="D204" s="10" t="s">
        <v>1094</v>
      </c>
      <c r="E204" s="27" t="s">
        <v>31</v>
      </c>
      <c r="F204" s="27" t="s">
        <v>51</v>
      </c>
      <c r="G204" s="27" t="s">
        <v>405</v>
      </c>
      <c r="H204" s="40">
        <f ca="1">Tabel3[[#This Row],[KEHADIRAN]]/100</f>
        <v>0.9</v>
      </c>
    </row>
    <row r="205" spans="2:8" x14ac:dyDescent="0.25">
      <c r="B205" s="27" t="s">
        <v>287</v>
      </c>
      <c r="C205" s="10" t="s">
        <v>1095</v>
      </c>
      <c r="D205" s="10" t="s">
        <v>1096</v>
      </c>
      <c r="E205" s="27" t="s">
        <v>31</v>
      </c>
      <c r="F205" s="27" t="s">
        <v>51</v>
      </c>
      <c r="G205" s="27" t="s">
        <v>298</v>
      </c>
      <c r="H205" s="40">
        <f ca="1">Tabel3[[#This Row],[KEHADIRAN]]/100</f>
        <v>0.87</v>
      </c>
    </row>
    <row r="206" spans="2:8" x14ac:dyDescent="0.25">
      <c r="B206" s="27" t="s">
        <v>289</v>
      </c>
      <c r="C206" s="10" t="s">
        <v>1097</v>
      </c>
      <c r="D206" s="10" t="s">
        <v>1098</v>
      </c>
      <c r="E206" s="27" t="s">
        <v>31</v>
      </c>
      <c r="F206" s="27" t="s">
        <v>51</v>
      </c>
      <c r="G206" s="27" t="s">
        <v>412</v>
      </c>
      <c r="H206" s="40">
        <f ca="1">Tabel3[[#This Row],[KEHADIRAN]]/100</f>
        <v>0.86</v>
      </c>
    </row>
    <row r="207" spans="2:8" x14ac:dyDescent="0.25">
      <c r="B207" s="27" t="s">
        <v>290</v>
      </c>
      <c r="C207" s="10" t="s">
        <v>1099</v>
      </c>
      <c r="D207" s="10" t="s">
        <v>1100</v>
      </c>
      <c r="E207" s="27" t="s">
        <v>31</v>
      </c>
      <c r="F207" s="27" t="s">
        <v>51</v>
      </c>
      <c r="G207" s="27" t="s">
        <v>241</v>
      </c>
      <c r="H207" s="40">
        <f ca="1">Tabel3[[#This Row],[KEHADIRAN]]/100</f>
        <v>0.98</v>
      </c>
    </row>
    <row r="208" spans="2:8" x14ac:dyDescent="0.25">
      <c r="B208" s="27" t="s">
        <v>291</v>
      </c>
      <c r="C208" s="10" t="s">
        <v>1101</v>
      </c>
      <c r="D208" s="10" t="s">
        <v>1102</v>
      </c>
      <c r="E208" s="27" t="s">
        <v>31</v>
      </c>
      <c r="F208" s="27" t="s">
        <v>51</v>
      </c>
      <c r="G208" s="27" t="s">
        <v>141</v>
      </c>
      <c r="H208" s="40">
        <f ca="1">Tabel3[[#This Row],[KEHADIRAN]]/100</f>
        <v>0.81</v>
      </c>
    </row>
    <row r="209" spans="2:8" x14ac:dyDescent="0.25">
      <c r="B209" s="27" t="s">
        <v>292</v>
      </c>
      <c r="C209" s="10" t="s">
        <v>1103</v>
      </c>
      <c r="D209" s="10" t="s">
        <v>1104</v>
      </c>
      <c r="E209" s="27" t="s">
        <v>31</v>
      </c>
      <c r="F209" s="27" t="s">
        <v>51</v>
      </c>
      <c r="G209" s="27" t="s">
        <v>160</v>
      </c>
      <c r="H209" s="40">
        <f ca="1">Tabel3[[#This Row],[KEHADIRAN]]/100</f>
        <v>0.85</v>
      </c>
    </row>
    <row r="210" spans="2:8" x14ac:dyDescent="0.25">
      <c r="B210" s="27" t="s">
        <v>294</v>
      </c>
      <c r="C210" s="10" t="s">
        <v>1105</v>
      </c>
      <c r="D210" s="10" t="s">
        <v>1106</v>
      </c>
      <c r="E210" s="27" t="s">
        <v>31</v>
      </c>
      <c r="F210" s="27" t="s">
        <v>51</v>
      </c>
      <c r="G210" s="27" t="s">
        <v>403</v>
      </c>
      <c r="H210" s="40">
        <f ca="1">Tabel3[[#This Row],[KEHADIRAN]]/100</f>
        <v>0.85</v>
      </c>
    </row>
    <row r="211" spans="2:8" x14ac:dyDescent="0.25">
      <c r="B211" s="27" t="s">
        <v>295</v>
      </c>
      <c r="C211" s="10" t="s">
        <v>1107</v>
      </c>
      <c r="D211" s="10" t="s">
        <v>1108</v>
      </c>
      <c r="E211" s="27" t="s">
        <v>31</v>
      </c>
      <c r="F211" s="27" t="s">
        <v>51</v>
      </c>
      <c r="G211" s="27" t="s">
        <v>115</v>
      </c>
      <c r="H211" s="40">
        <f ca="1">Tabel3[[#This Row],[KEHADIRAN]]/100</f>
        <v>0.97</v>
      </c>
    </row>
    <row r="212" spans="2:8" x14ac:dyDescent="0.25">
      <c r="B212" s="27" t="s">
        <v>296</v>
      </c>
      <c r="C212" s="10" t="s">
        <v>1109</v>
      </c>
      <c r="D212" s="10" t="s">
        <v>1110</v>
      </c>
      <c r="E212" s="27" t="s">
        <v>31</v>
      </c>
      <c r="F212" s="27" t="s">
        <v>51</v>
      </c>
      <c r="G212" s="27" t="s">
        <v>332</v>
      </c>
      <c r="H212" s="40">
        <f ca="1">Tabel3[[#This Row],[KEHADIRAN]]/100</f>
        <v>0.93</v>
      </c>
    </row>
    <row r="213" spans="2:8" x14ac:dyDescent="0.25">
      <c r="B213" s="27" t="s">
        <v>297</v>
      </c>
      <c r="C213" s="10" t="s">
        <v>1111</v>
      </c>
      <c r="D213" s="10" t="s">
        <v>1112</v>
      </c>
      <c r="E213" s="27" t="s">
        <v>31</v>
      </c>
      <c r="F213" s="27" t="s">
        <v>51</v>
      </c>
      <c r="G213" s="27" t="s">
        <v>280</v>
      </c>
      <c r="H213" s="40">
        <f ca="1">Tabel3[[#This Row],[KEHADIRAN]]/100</f>
        <v>0.88</v>
      </c>
    </row>
    <row r="214" spans="2:8" x14ac:dyDescent="0.25">
      <c r="B214" s="27" t="s">
        <v>299</v>
      </c>
      <c r="C214" s="10" t="s">
        <v>1113</v>
      </c>
      <c r="D214" s="10" t="s">
        <v>1114</v>
      </c>
      <c r="E214" s="27" t="s">
        <v>31</v>
      </c>
      <c r="F214" s="27" t="s">
        <v>51</v>
      </c>
      <c r="G214" s="27" t="s">
        <v>132</v>
      </c>
      <c r="H214" s="40">
        <f ca="1">Tabel3[[#This Row],[KEHADIRAN]]/100</f>
        <v>0.82</v>
      </c>
    </row>
    <row r="215" spans="2:8" x14ac:dyDescent="0.25">
      <c r="B215" s="27" t="s">
        <v>300</v>
      </c>
      <c r="C215" s="10" t="s">
        <v>1115</v>
      </c>
      <c r="D215" s="10" t="s">
        <v>1116</v>
      </c>
      <c r="E215" s="27" t="s">
        <v>31</v>
      </c>
      <c r="F215" s="27" t="s">
        <v>51</v>
      </c>
      <c r="G215" s="27" t="s">
        <v>115</v>
      </c>
      <c r="H215" s="40">
        <f ca="1">Tabel3[[#This Row],[KEHADIRAN]]/100</f>
        <v>0.93</v>
      </c>
    </row>
    <row r="216" spans="2:8" x14ac:dyDescent="0.25">
      <c r="B216" s="27" t="s">
        <v>301</v>
      </c>
      <c r="C216" s="10" t="s">
        <v>1117</v>
      </c>
      <c r="D216" s="10" t="s">
        <v>1118</v>
      </c>
      <c r="E216" s="27" t="s">
        <v>31</v>
      </c>
      <c r="F216" s="27" t="s">
        <v>51</v>
      </c>
      <c r="G216" s="27" t="s">
        <v>254</v>
      </c>
      <c r="H216" s="40">
        <f ca="1">Tabel3[[#This Row],[KEHADIRAN]]/100</f>
        <v>0.86</v>
      </c>
    </row>
    <row r="217" spans="2:8" x14ac:dyDescent="0.25">
      <c r="B217" s="27" t="s">
        <v>302</v>
      </c>
      <c r="C217" s="10" t="s">
        <v>1119</v>
      </c>
      <c r="D217" s="10" t="s">
        <v>1120</v>
      </c>
      <c r="E217" s="27" t="s">
        <v>31</v>
      </c>
      <c r="F217" s="27" t="s">
        <v>51</v>
      </c>
      <c r="G217" s="27" t="s">
        <v>146</v>
      </c>
      <c r="H217" s="40">
        <f ca="1">Tabel3[[#This Row],[KEHADIRAN]]/100</f>
        <v>0.94</v>
      </c>
    </row>
    <row r="218" spans="2:8" x14ac:dyDescent="0.25">
      <c r="B218" s="27" t="s">
        <v>304</v>
      </c>
      <c r="C218" s="10" t="s">
        <v>1121</v>
      </c>
      <c r="D218" s="10" t="s">
        <v>1122</v>
      </c>
      <c r="E218" s="27" t="s">
        <v>31</v>
      </c>
      <c r="F218" s="27" t="s">
        <v>51</v>
      </c>
      <c r="G218" s="27" t="s">
        <v>113</v>
      </c>
      <c r="H218" s="40">
        <f ca="1">Tabel3[[#This Row],[KEHADIRAN]]/100</f>
        <v>0.88</v>
      </c>
    </row>
    <row r="219" spans="2:8" x14ac:dyDescent="0.25">
      <c r="B219" s="27" t="s">
        <v>305</v>
      </c>
      <c r="C219" s="10" t="s">
        <v>1123</v>
      </c>
      <c r="D219" s="10" t="s">
        <v>1124</v>
      </c>
      <c r="E219" s="27" t="s">
        <v>31</v>
      </c>
      <c r="F219" s="27" t="s">
        <v>51</v>
      </c>
      <c r="G219" s="27" t="s">
        <v>298</v>
      </c>
      <c r="H219" s="40">
        <f ca="1">Tabel3[[#This Row],[KEHADIRAN]]/100</f>
        <v>0.9</v>
      </c>
    </row>
    <row r="220" spans="2:8" x14ac:dyDescent="0.25">
      <c r="B220" s="27" t="s">
        <v>306</v>
      </c>
      <c r="C220" s="10" t="s">
        <v>1125</v>
      </c>
      <c r="D220" s="10" t="s">
        <v>1126</v>
      </c>
      <c r="E220" s="27" t="s">
        <v>31</v>
      </c>
      <c r="F220" s="27" t="s">
        <v>51</v>
      </c>
      <c r="G220" s="27" t="s">
        <v>412</v>
      </c>
      <c r="H220" s="40">
        <f ca="1">Tabel3[[#This Row],[KEHADIRAN]]/100</f>
        <v>0.98</v>
      </c>
    </row>
    <row r="221" spans="2:8" x14ac:dyDescent="0.25">
      <c r="B221" s="27" t="s">
        <v>307</v>
      </c>
      <c r="C221" s="10" t="s">
        <v>1130</v>
      </c>
      <c r="D221" s="10" t="s">
        <v>1131</v>
      </c>
      <c r="E221" s="27" t="s">
        <v>31</v>
      </c>
      <c r="F221" s="27" t="s">
        <v>51</v>
      </c>
      <c r="G221" s="27" t="s">
        <v>1132</v>
      </c>
      <c r="H221" s="40">
        <f ca="1">Tabel3[[#This Row],[KEHADIRAN]]/100</f>
        <v>0.83</v>
      </c>
    </row>
    <row r="222" spans="2:8" x14ac:dyDescent="0.25">
      <c r="B222" s="27" t="s">
        <v>308</v>
      </c>
      <c r="C222" s="10" t="s">
        <v>1133</v>
      </c>
      <c r="D222" s="10" t="s">
        <v>1134</v>
      </c>
      <c r="E222" s="27" t="s">
        <v>31</v>
      </c>
      <c r="F222" s="27" t="s">
        <v>51</v>
      </c>
      <c r="G222" s="27" t="s">
        <v>218</v>
      </c>
      <c r="H222" s="40">
        <f ca="1">Tabel3[[#This Row],[KEHADIRAN]]/100</f>
        <v>0.95</v>
      </c>
    </row>
    <row r="223" spans="2:8" x14ac:dyDescent="0.25">
      <c r="B223" s="27" t="s">
        <v>309</v>
      </c>
      <c r="C223" s="10" t="s">
        <v>1135</v>
      </c>
      <c r="D223" s="10" t="s">
        <v>1136</v>
      </c>
      <c r="E223" s="27" t="s">
        <v>31</v>
      </c>
      <c r="F223" s="27" t="s">
        <v>51</v>
      </c>
      <c r="G223" s="27" t="s">
        <v>403</v>
      </c>
      <c r="H223" s="40">
        <f ca="1">Tabel3[[#This Row],[KEHADIRAN]]/100</f>
        <v>0.98</v>
      </c>
    </row>
    <row r="224" spans="2:8" x14ac:dyDescent="0.25">
      <c r="B224" s="27" t="s">
        <v>310</v>
      </c>
      <c r="C224" s="10" t="s">
        <v>1137</v>
      </c>
      <c r="D224" s="10" t="s">
        <v>1138</v>
      </c>
      <c r="E224" s="27" t="s">
        <v>31</v>
      </c>
      <c r="F224" s="27" t="s">
        <v>51</v>
      </c>
      <c r="G224" s="27" t="s">
        <v>111</v>
      </c>
      <c r="H224" s="40">
        <f ca="1">Tabel3[[#This Row],[KEHADIRAN]]/100</f>
        <v>0.85</v>
      </c>
    </row>
    <row r="225" spans="2:8" x14ac:dyDescent="0.25">
      <c r="B225" s="27" t="s">
        <v>311</v>
      </c>
      <c r="C225" s="10" t="s">
        <v>1139</v>
      </c>
      <c r="D225" s="10" t="s">
        <v>1140</v>
      </c>
      <c r="E225" s="27" t="s">
        <v>31</v>
      </c>
      <c r="F225" s="27" t="s">
        <v>207</v>
      </c>
      <c r="G225" s="27" t="s">
        <v>389</v>
      </c>
      <c r="H225" s="40">
        <f ca="1">Tabel3[[#This Row],[KEHADIRAN]]/100</f>
        <v>0.94</v>
      </c>
    </row>
    <row r="226" spans="2:8" x14ac:dyDescent="0.25">
      <c r="B226" s="27" t="s">
        <v>312</v>
      </c>
      <c r="C226" s="10" t="s">
        <v>1141</v>
      </c>
      <c r="D226" s="10" t="s">
        <v>1142</v>
      </c>
      <c r="E226" s="27" t="s">
        <v>31</v>
      </c>
      <c r="F226" s="27" t="s">
        <v>51</v>
      </c>
      <c r="G226" s="27" t="s">
        <v>332</v>
      </c>
      <c r="H226" s="40">
        <f ca="1">Tabel3[[#This Row],[KEHADIRAN]]/100</f>
        <v>0.92</v>
      </c>
    </row>
    <row r="227" spans="2:8" x14ac:dyDescent="0.25">
      <c r="B227" s="27" t="s">
        <v>313</v>
      </c>
      <c r="C227" s="10" t="s">
        <v>1145</v>
      </c>
      <c r="D227" s="10" t="s">
        <v>1146</v>
      </c>
      <c r="E227" s="27" t="s">
        <v>31</v>
      </c>
      <c r="F227" s="27" t="s">
        <v>51</v>
      </c>
      <c r="G227" s="27" t="s">
        <v>332</v>
      </c>
      <c r="H227" s="40">
        <f ca="1">Tabel3[[#This Row],[KEHADIRAN]]/100</f>
        <v>1</v>
      </c>
    </row>
    <row r="228" spans="2:8" x14ac:dyDescent="0.25">
      <c r="B228" s="27" t="s">
        <v>314</v>
      </c>
      <c r="C228" s="10" t="s">
        <v>1147</v>
      </c>
      <c r="D228" s="10" t="s">
        <v>1148</v>
      </c>
      <c r="E228" s="27" t="s">
        <v>31</v>
      </c>
      <c r="F228" s="27" t="s">
        <v>51</v>
      </c>
      <c r="G228" s="27" t="s">
        <v>199</v>
      </c>
      <c r="H228" s="40">
        <f ca="1">Tabel3[[#This Row],[KEHADIRAN]]/100</f>
        <v>0.85</v>
      </c>
    </row>
    <row r="229" spans="2:8" x14ac:dyDescent="0.25">
      <c r="B229" s="27" t="s">
        <v>315</v>
      </c>
      <c r="C229" s="10" t="s">
        <v>1151</v>
      </c>
      <c r="D229" s="10" t="s">
        <v>1152</v>
      </c>
      <c r="E229" s="27" t="s">
        <v>31</v>
      </c>
      <c r="F229" s="27" t="s">
        <v>51</v>
      </c>
      <c r="G229" s="27" t="s">
        <v>248</v>
      </c>
      <c r="H229" s="40">
        <f ca="1">Tabel3[[#This Row],[KEHADIRAN]]/100</f>
        <v>0.88</v>
      </c>
    </row>
    <row r="230" spans="2:8" x14ac:dyDescent="0.25">
      <c r="B230" s="27" t="s">
        <v>316</v>
      </c>
      <c r="C230" s="10" t="s">
        <v>1153</v>
      </c>
      <c r="D230" s="10" t="s">
        <v>1154</v>
      </c>
      <c r="E230" s="27" t="s">
        <v>31</v>
      </c>
      <c r="F230" s="27" t="s">
        <v>51</v>
      </c>
      <c r="G230" s="27" t="s">
        <v>293</v>
      </c>
      <c r="H230" s="40">
        <f ca="1">Tabel3[[#This Row],[KEHADIRAN]]/100</f>
        <v>0.88</v>
      </c>
    </row>
    <row r="231" spans="2:8" x14ac:dyDescent="0.25">
      <c r="B231" s="27" t="s">
        <v>317</v>
      </c>
      <c r="C231" s="10" t="s">
        <v>1155</v>
      </c>
      <c r="D231" s="10" t="s">
        <v>1156</v>
      </c>
      <c r="E231" s="27" t="s">
        <v>31</v>
      </c>
      <c r="F231" s="27" t="s">
        <v>51</v>
      </c>
      <c r="G231" s="27" t="s">
        <v>404</v>
      </c>
      <c r="H231" s="40">
        <f ca="1">Tabel3[[#This Row],[KEHADIRAN]]/100</f>
        <v>0.8</v>
      </c>
    </row>
    <row r="232" spans="2:8" x14ac:dyDescent="0.25">
      <c r="B232" s="27" t="s">
        <v>318</v>
      </c>
      <c r="C232" s="10" t="s">
        <v>1157</v>
      </c>
      <c r="D232" s="10" t="s">
        <v>1158</v>
      </c>
      <c r="E232" s="27" t="s">
        <v>31</v>
      </c>
      <c r="F232" s="27" t="s">
        <v>51</v>
      </c>
      <c r="G232" s="27" t="s">
        <v>199</v>
      </c>
      <c r="H232" s="40">
        <f ca="1">Tabel3[[#This Row],[KEHADIRAN]]/100</f>
        <v>0.85</v>
      </c>
    </row>
    <row r="233" spans="2:8" x14ac:dyDescent="0.25">
      <c r="B233" s="27" t="s">
        <v>320</v>
      </c>
      <c r="C233" s="10" t="s">
        <v>1159</v>
      </c>
      <c r="D233" s="10" t="s">
        <v>1160</v>
      </c>
      <c r="E233" s="27" t="s">
        <v>31</v>
      </c>
      <c r="F233" s="27" t="s">
        <v>51</v>
      </c>
      <c r="G233" s="27" t="s">
        <v>416</v>
      </c>
      <c r="H233" s="40">
        <f ca="1">Tabel3[[#This Row],[KEHADIRAN]]/100</f>
        <v>0.93</v>
      </c>
    </row>
    <row r="234" spans="2:8" x14ac:dyDescent="0.25">
      <c r="B234" s="27" t="s">
        <v>321</v>
      </c>
      <c r="C234" s="10" t="s">
        <v>1161</v>
      </c>
      <c r="D234" s="10" t="s">
        <v>1162</v>
      </c>
      <c r="E234" s="27" t="s">
        <v>31</v>
      </c>
      <c r="F234" s="27" t="s">
        <v>51</v>
      </c>
      <c r="G234" s="27" t="s">
        <v>143</v>
      </c>
      <c r="H234" s="40">
        <f ca="1">Tabel3[[#This Row],[KEHADIRAN]]/100</f>
        <v>1</v>
      </c>
    </row>
    <row r="235" spans="2:8" x14ac:dyDescent="0.25">
      <c r="B235" s="27" t="s">
        <v>322</v>
      </c>
      <c r="C235" s="10" t="s">
        <v>1163</v>
      </c>
      <c r="D235" s="10" t="s">
        <v>1164</v>
      </c>
      <c r="E235" s="27" t="s">
        <v>31</v>
      </c>
      <c r="F235" s="27" t="s">
        <v>51</v>
      </c>
      <c r="G235" s="27" t="s">
        <v>271</v>
      </c>
      <c r="H235" s="40">
        <f ca="1">Tabel3[[#This Row],[KEHADIRAN]]/100</f>
        <v>0.84</v>
      </c>
    </row>
    <row r="236" spans="2:8" x14ac:dyDescent="0.25">
      <c r="B236" s="27" t="s">
        <v>324</v>
      </c>
      <c r="C236" s="10" t="s">
        <v>1165</v>
      </c>
      <c r="D236" s="10" t="s">
        <v>1166</v>
      </c>
      <c r="E236" s="27" t="s">
        <v>31</v>
      </c>
      <c r="F236" s="27" t="s">
        <v>51</v>
      </c>
      <c r="G236" s="27" t="s">
        <v>132</v>
      </c>
      <c r="H236" s="40">
        <f ca="1">Tabel3[[#This Row],[KEHADIRAN]]/100</f>
        <v>1</v>
      </c>
    </row>
    <row r="237" spans="2:8" x14ac:dyDescent="0.25">
      <c r="B237" s="27" t="s">
        <v>325</v>
      </c>
      <c r="C237" s="10" t="s">
        <v>1167</v>
      </c>
      <c r="D237" s="10" t="s">
        <v>1168</v>
      </c>
      <c r="E237" s="27" t="s">
        <v>31</v>
      </c>
      <c r="F237" s="27" t="s">
        <v>60</v>
      </c>
      <c r="G237" s="27" t="s">
        <v>415</v>
      </c>
      <c r="H237" s="40">
        <f ca="1">Tabel3[[#This Row],[KEHADIRAN]]/100</f>
        <v>1</v>
      </c>
    </row>
    <row r="238" spans="2:8" x14ac:dyDescent="0.25">
      <c r="B238" s="27" t="s">
        <v>326</v>
      </c>
      <c r="C238" s="10" t="s">
        <v>1169</v>
      </c>
      <c r="D238" s="10" t="s">
        <v>1170</v>
      </c>
      <c r="E238" s="27" t="s">
        <v>31</v>
      </c>
      <c r="F238" s="27" t="s">
        <v>51</v>
      </c>
      <c r="G238" s="27" t="s">
        <v>97</v>
      </c>
      <c r="H238" s="40">
        <f ca="1">Tabel3[[#This Row],[KEHADIRAN]]/100</f>
        <v>0.88</v>
      </c>
    </row>
    <row r="239" spans="2:8" x14ac:dyDescent="0.25">
      <c r="B239" s="27" t="s">
        <v>327</v>
      </c>
      <c r="C239" s="10" t="s">
        <v>1171</v>
      </c>
      <c r="D239" s="10" t="s">
        <v>1172</v>
      </c>
      <c r="E239" s="27" t="s">
        <v>31</v>
      </c>
      <c r="F239" s="27" t="s">
        <v>51</v>
      </c>
      <c r="G239" s="27" t="s">
        <v>137</v>
      </c>
      <c r="H239" s="40">
        <f ca="1">Tabel3[[#This Row],[KEHADIRAN]]/100</f>
        <v>0.96</v>
      </c>
    </row>
    <row r="240" spans="2:8" x14ac:dyDescent="0.25">
      <c r="B240" s="27" t="s">
        <v>329</v>
      </c>
      <c r="C240" s="10" t="s">
        <v>1173</v>
      </c>
      <c r="D240" s="10" t="s">
        <v>1174</v>
      </c>
      <c r="E240" s="27" t="s">
        <v>31</v>
      </c>
      <c r="F240" s="27" t="s">
        <v>123</v>
      </c>
      <c r="G240" s="27" t="s">
        <v>1175</v>
      </c>
      <c r="H240" s="40">
        <f ca="1">Tabel3[[#This Row],[KEHADIRAN]]/100</f>
        <v>0.95</v>
      </c>
    </row>
    <row r="241" spans="2:8" x14ac:dyDescent="0.25">
      <c r="B241" s="27" t="s">
        <v>330</v>
      </c>
      <c r="C241" s="10" t="s">
        <v>1176</v>
      </c>
      <c r="D241" s="10" t="s">
        <v>1177</v>
      </c>
      <c r="E241" s="27" t="s">
        <v>31</v>
      </c>
      <c r="F241" s="27" t="s">
        <v>100</v>
      </c>
      <c r="G241" s="27" t="s">
        <v>1178</v>
      </c>
      <c r="H241" s="40">
        <f ca="1">Tabel3[[#This Row],[KEHADIRAN]]/100</f>
        <v>0.82</v>
      </c>
    </row>
    <row r="242" spans="2:8" x14ac:dyDescent="0.25">
      <c r="B242" s="27" t="s">
        <v>331</v>
      </c>
      <c r="C242" s="10" t="s">
        <v>1179</v>
      </c>
      <c r="D242" s="10" t="s">
        <v>1180</v>
      </c>
      <c r="E242" s="27" t="s">
        <v>31</v>
      </c>
      <c r="F242" s="27" t="s">
        <v>51</v>
      </c>
      <c r="G242" s="27" t="s">
        <v>328</v>
      </c>
      <c r="H242" s="40">
        <f ca="1">Tabel3[[#This Row],[KEHADIRAN]]/100</f>
        <v>0.97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3F00-C4A5-4EF0-8BF3-5A709A22B3BB}">
  <dimension ref="B1:H702"/>
  <sheetViews>
    <sheetView workbookViewId="0">
      <selection activeCell="H1" sqref="H1:H1048576"/>
    </sheetView>
  </sheetViews>
  <sheetFormatPr defaultRowHeight="15.75" x14ac:dyDescent="0.25"/>
  <cols>
    <col min="2" max="2" width="14.28515625" style="27"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38" bestFit="1" customWidth="1"/>
  </cols>
  <sheetData>
    <row r="1" spans="2:8" x14ac:dyDescent="0.25">
      <c r="D1" s="11"/>
    </row>
    <row r="2" spans="2:8" x14ac:dyDescent="0.25">
      <c r="B2" s="30" t="s">
        <v>0</v>
      </c>
      <c r="C2" s="29" t="s">
        <v>1</v>
      </c>
      <c r="D2" s="29" t="s">
        <v>2</v>
      </c>
      <c r="E2" s="30" t="s">
        <v>1184</v>
      </c>
      <c r="F2" s="30" t="s">
        <v>3</v>
      </c>
      <c r="G2" s="30" t="s">
        <v>4</v>
      </c>
      <c r="H2" s="39" t="s">
        <v>1183</v>
      </c>
    </row>
    <row r="3" spans="2:8" x14ac:dyDescent="0.25">
      <c r="B3" s="27" t="s">
        <v>5</v>
      </c>
      <c r="C3" s="10" t="s">
        <v>522</v>
      </c>
      <c r="D3" s="10" t="s">
        <v>523</v>
      </c>
      <c r="E3" s="27" t="s">
        <v>319</v>
      </c>
      <c r="F3" s="27" t="s">
        <v>70</v>
      </c>
      <c r="G3" s="27" t="s">
        <v>97</v>
      </c>
      <c r="H3" s="40">
        <f ca="1">Tabel4[[#This Row],[KEHADIRAN]]/100</f>
        <v>0</v>
      </c>
    </row>
    <row r="4" spans="2:8" x14ac:dyDescent="0.25">
      <c r="B4" s="27" t="s">
        <v>8</v>
      </c>
      <c r="C4" s="10" t="s">
        <v>537</v>
      </c>
      <c r="D4" s="10" t="s">
        <v>538</v>
      </c>
      <c r="E4" s="27" t="s">
        <v>31</v>
      </c>
      <c r="F4" s="27" t="s">
        <v>204</v>
      </c>
      <c r="G4" s="27" t="s">
        <v>29</v>
      </c>
      <c r="H4" s="40">
        <f ca="1">Tabel4[[#This Row],[KEHADIRAN]]/100</f>
        <v>0.93</v>
      </c>
    </row>
    <row r="5" spans="2:8" x14ac:dyDescent="0.25">
      <c r="B5" s="27" t="s">
        <v>10</v>
      </c>
      <c r="C5" s="10" t="s">
        <v>556</v>
      </c>
      <c r="D5" s="10" t="s">
        <v>557</v>
      </c>
      <c r="E5" s="27" t="s">
        <v>6</v>
      </c>
      <c r="F5" s="27" t="s">
        <v>7</v>
      </c>
      <c r="G5" s="27" t="s">
        <v>91</v>
      </c>
      <c r="H5" s="40">
        <f ca="1">Tabel4[[#This Row],[KEHADIRAN]]/100</f>
        <v>0</v>
      </c>
    </row>
    <row r="6" spans="2:8" x14ac:dyDescent="0.25">
      <c r="B6" s="27" t="s">
        <v>12</v>
      </c>
      <c r="C6" s="10" t="s">
        <v>567</v>
      </c>
      <c r="D6" s="10" t="s">
        <v>568</v>
      </c>
      <c r="E6" s="27" t="s">
        <v>319</v>
      </c>
      <c r="F6" s="27" t="s">
        <v>32</v>
      </c>
      <c r="G6" s="27" t="s">
        <v>158</v>
      </c>
      <c r="H6" s="40">
        <f ca="1">Tabel4[[#This Row],[KEHADIRAN]]/100</f>
        <v>0</v>
      </c>
    </row>
    <row r="7" spans="2:8" x14ac:dyDescent="0.25">
      <c r="B7" s="27" t="s">
        <v>14</v>
      </c>
      <c r="C7" s="10" t="s">
        <v>616</v>
      </c>
      <c r="D7" s="10" t="s">
        <v>617</v>
      </c>
      <c r="E7" s="27" t="s">
        <v>25</v>
      </c>
      <c r="F7" s="27" t="s">
        <v>88</v>
      </c>
      <c r="G7" s="27" t="s">
        <v>259</v>
      </c>
      <c r="H7" s="40">
        <f ca="1">Tabel4[[#This Row],[KEHADIRAN]]/100</f>
        <v>0.9</v>
      </c>
    </row>
    <row r="8" spans="2:8" x14ac:dyDescent="0.25">
      <c r="B8" s="27" t="s">
        <v>16</v>
      </c>
      <c r="C8" s="10" t="s">
        <v>618</v>
      </c>
      <c r="D8" s="10" t="s">
        <v>619</v>
      </c>
      <c r="E8" s="27" t="s">
        <v>6</v>
      </c>
      <c r="F8" s="27">
        <v>89</v>
      </c>
      <c r="G8" s="27" t="s">
        <v>339</v>
      </c>
      <c r="H8" s="40">
        <f ca="1">Tabel4[[#This Row],[KEHADIRAN]]/100</f>
        <v>0</v>
      </c>
    </row>
    <row r="9" spans="2:8" x14ac:dyDescent="0.25">
      <c r="B9" s="27" t="s">
        <v>18</v>
      </c>
      <c r="C9" s="10" t="s">
        <v>629</v>
      </c>
      <c r="D9" s="10" t="s">
        <v>630</v>
      </c>
      <c r="E9" s="27" t="s">
        <v>6</v>
      </c>
      <c r="F9" s="27" t="s">
        <v>28</v>
      </c>
      <c r="G9" s="27" t="s">
        <v>215</v>
      </c>
      <c r="H9" s="40">
        <f ca="1">Tabel4[[#This Row],[KEHADIRAN]]/100</f>
        <v>0</v>
      </c>
    </row>
    <row r="10" spans="2:8" x14ac:dyDescent="0.25">
      <c r="B10" s="27" t="s">
        <v>21</v>
      </c>
      <c r="C10" s="10" t="s">
        <v>634</v>
      </c>
      <c r="D10" s="10" t="s">
        <v>635</v>
      </c>
      <c r="E10" s="27" t="s">
        <v>6</v>
      </c>
      <c r="F10" s="27" t="s">
        <v>13</v>
      </c>
      <c r="G10" s="27" t="s">
        <v>193</v>
      </c>
      <c r="H10" s="40">
        <f ca="1">Tabel4[[#This Row],[KEHADIRAN]]/100</f>
        <v>0</v>
      </c>
    </row>
    <row r="11" spans="2:8" x14ac:dyDescent="0.25">
      <c r="B11" s="27" t="s">
        <v>24</v>
      </c>
      <c r="C11" s="10" t="s">
        <v>638</v>
      </c>
      <c r="D11" s="10" t="s">
        <v>639</v>
      </c>
      <c r="E11" s="27" t="s">
        <v>25</v>
      </c>
      <c r="F11" s="27" t="s">
        <v>224</v>
      </c>
      <c r="G11" s="27" t="s">
        <v>54</v>
      </c>
      <c r="H11" s="40">
        <f ca="1">Tabel4[[#This Row],[KEHADIRAN]]/100</f>
        <v>0.9</v>
      </c>
    </row>
    <row r="12" spans="2:8" x14ac:dyDescent="0.25">
      <c r="B12" s="27" t="s">
        <v>27</v>
      </c>
      <c r="C12" s="10" t="s">
        <v>667</v>
      </c>
      <c r="D12" s="10" t="s">
        <v>668</v>
      </c>
      <c r="E12" s="27" t="s">
        <v>319</v>
      </c>
      <c r="F12" s="27" t="s">
        <v>26</v>
      </c>
      <c r="G12" s="27" t="s">
        <v>199</v>
      </c>
      <c r="H12" s="40">
        <f ca="1">Tabel4[[#This Row],[KEHADIRAN]]/100</f>
        <v>0</v>
      </c>
    </row>
    <row r="13" spans="2:8" x14ac:dyDescent="0.25">
      <c r="B13" s="27" t="s">
        <v>30</v>
      </c>
      <c r="C13" s="10" t="s">
        <v>685</v>
      </c>
      <c r="D13" s="10" t="s">
        <v>686</v>
      </c>
      <c r="E13" s="27" t="s">
        <v>25</v>
      </c>
      <c r="F13" s="27" t="s">
        <v>39</v>
      </c>
      <c r="G13" s="27" t="s">
        <v>97</v>
      </c>
      <c r="H13" s="40">
        <f ca="1">Tabel4[[#This Row],[KEHADIRAN]]/100</f>
        <v>0.98</v>
      </c>
    </row>
    <row r="14" spans="2:8" x14ac:dyDescent="0.25">
      <c r="B14" s="27" t="s">
        <v>33</v>
      </c>
      <c r="C14" s="10" t="s">
        <v>711</v>
      </c>
      <c r="D14" s="10" t="s">
        <v>712</v>
      </c>
      <c r="E14" s="27" t="s">
        <v>319</v>
      </c>
      <c r="F14" s="27" t="s">
        <v>20</v>
      </c>
      <c r="G14" s="27" t="s">
        <v>220</v>
      </c>
      <c r="H14" s="40">
        <f ca="1">Tabel4[[#This Row],[KEHADIRAN]]/100</f>
        <v>0</v>
      </c>
    </row>
    <row r="15" spans="2:8" x14ac:dyDescent="0.25">
      <c r="B15" s="27" t="s">
        <v>35</v>
      </c>
      <c r="C15" s="10" t="s">
        <v>715</v>
      </c>
      <c r="D15" s="10" t="s">
        <v>716</v>
      </c>
      <c r="E15" s="27" t="s">
        <v>31</v>
      </c>
      <c r="F15" s="27" t="s">
        <v>238</v>
      </c>
      <c r="G15" s="27" t="s">
        <v>476</v>
      </c>
      <c r="H15" s="40">
        <f ca="1">Tabel4[[#This Row],[KEHADIRAN]]/100</f>
        <v>0.93</v>
      </c>
    </row>
    <row r="16" spans="2:8" x14ac:dyDescent="0.25">
      <c r="B16" s="27" t="s">
        <v>37</v>
      </c>
      <c r="C16" s="10" t="s">
        <v>721</v>
      </c>
      <c r="D16" s="10" t="s">
        <v>722</v>
      </c>
      <c r="E16" s="27" t="s">
        <v>25</v>
      </c>
      <c r="F16" s="27" t="s">
        <v>39</v>
      </c>
      <c r="G16" s="27" t="s">
        <v>36</v>
      </c>
      <c r="H16" s="40">
        <f ca="1">Tabel4[[#This Row],[KEHADIRAN]]/100</f>
        <v>0.99</v>
      </c>
    </row>
    <row r="17" spans="2:8" x14ac:dyDescent="0.25">
      <c r="B17" s="27" t="s">
        <v>38</v>
      </c>
      <c r="C17" s="10" t="s">
        <v>731</v>
      </c>
      <c r="D17" s="10" t="s">
        <v>732</v>
      </c>
      <c r="E17" s="27" t="s">
        <v>31</v>
      </c>
      <c r="F17" s="27" t="s">
        <v>135</v>
      </c>
      <c r="G17" s="27" t="s">
        <v>733</v>
      </c>
      <c r="H17" s="40">
        <f ca="1">Tabel4[[#This Row],[KEHADIRAN]]/100</f>
        <v>0.88</v>
      </c>
    </row>
    <row r="18" spans="2:8" x14ac:dyDescent="0.25">
      <c r="B18" s="27" t="s">
        <v>40</v>
      </c>
      <c r="C18" s="10" t="s">
        <v>743</v>
      </c>
      <c r="D18" s="10" t="s">
        <v>744</v>
      </c>
      <c r="E18" s="27" t="s">
        <v>25</v>
      </c>
      <c r="F18" s="27" t="s">
        <v>223</v>
      </c>
      <c r="G18" s="27" t="s">
        <v>113</v>
      </c>
      <c r="H18" s="40">
        <f ca="1">Tabel4[[#This Row],[KEHADIRAN]]/100</f>
        <v>0.84</v>
      </c>
    </row>
    <row r="19" spans="2:8" x14ac:dyDescent="0.25">
      <c r="B19" s="27" t="s">
        <v>41</v>
      </c>
      <c r="C19" s="10" t="s">
        <v>746</v>
      </c>
      <c r="D19" s="10" t="s">
        <v>747</v>
      </c>
      <c r="E19" s="27" t="s">
        <v>31</v>
      </c>
      <c r="F19" s="27" t="s">
        <v>26</v>
      </c>
      <c r="G19" s="27" t="s">
        <v>137</v>
      </c>
      <c r="H19" s="40">
        <f ca="1">Tabel4[[#This Row],[KEHADIRAN]]/100</f>
        <v>0.98</v>
      </c>
    </row>
    <row r="20" spans="2:8" x14ac:dyDescent="0.25">
      <c r="B20" s="27" t="s">
        <v>43</v>
      </c>
      <c r="C20" s="10" t="s">
        <v>757</v>
      </c>
      <c r="D20" s="10" t="s">
        <v>406</v>
      </c>
      <c r="E20" s="27" t="s">
        <v>25</v>
      </c>
      <c r="F20" s="27" t="s">
        <v>32</v>
      </c>
      <c r="G20" s="27" t="s">
        <v>416</v>
      </c>
      <c r="H20" s="40">
        <f ca="1">Tabel4[[#This Row],[KEHADIRAN]]/100</f>
        <v>1</v>
      </c>
    </row>
    <row r="21" spans="2:8" x14ac:dyDescent="0.25">
      <c r="B21" s="27" t="s">
        <v>45</v>
      </c>
      <c r="C21" s="10" t="s">
        <v>758</v>
      </c>
      <c r="D21" s="10" t="s">
        <v>759</v>
      </c>
      <c r="E21" s="27" t="s">
        <v>25</v>
      </c>
      <c r="F21" s="27" t="s">
        <v>223</v>
      </c>
      <c r="G21" s="27" t="s">
        <v>119</v>
      </c>
      <c r="H21" s="40">
        <f ca="1">Tabel4[[#This Row],[KEHADIRAN]]/100</f>
        <v>0.8</v>
      </c>
    </row>
    <row r="22" spans="2:8" x14ac:dyDescent="0.25">
      <c r="B22" s="27" t="s">
        <v>48</v>
      </c>
      <c r="C22" s="10" t="s">
        <v>780</v>
      </c>
      <c r="D22" s="10" t="s">
        <v>781</v>
      </c>
      <c r="E22" s="27" t="s">
        <v>25</v>
      </c>
      <c r="F22" s="27" t="s">
        <v>26</v>
      </c>
      <c r="G22" s="27" t="s">
        <v>169</v>
      </c>
      <c r="H22" s="40">
        <f ca="1">Tabel4[[#This Row],[KEHADIRAN]]/100</f>
        <v>1</v>
      </c>
    </row>
    <row r="23" spans="2:8" x14ac:dyDescent="0.25">
      <c r="B23" s="27" t="s">
        <v>49</v>
      </c>
      <c r="C23" s="10" t="s">
        <v>812</v>
      </c>
      <c r="D23" s="10" t="s">
        <v>813</v>
      </c>
      <c r="E23" s="27" t="s">
        <v>319</v>
      </c>
      <c r="F23" s="27" t="s">
        <v>219</v>
      </c>
      <c r="G23" s="27" t="s">
        <v>248</v>
      </c>
      <c r="H23" s="40">
        <f ca="1">Tabel4[[#This Row],[KEHADIRAN]]/100</f>
        <v>0</v>
      </c>
    </row>
    <row r="24" spans="2:8" x14ac:dyDescent="0.25">
      <c r="B24" s="27" t="s">
        <v>50</v>
      </c>
      <c r="C24" s="10" t="s">
        <v>816</v>
      </c>
      <c r="D24" s="10" t="s">
        <v>817</v>
      </c>
      <c r="E24" s="27" t="s">
        <v>319</v>
      </c>
      <c r="F24" s="27" t="s">
        <v>214</v>
      </c>
      <c r="G24" s="27" t="s">
        <v>229</v>
      </c>
      <c r="H24" s="40">
        <f ca="1">Tabel4[[#This Row],[KEHADIRAN]]/100</f>
        <v>0</v>
      </c>
    </row>
    <row r="25" spans="2:8" x14ac:dyDescent="0.25">
      <c r="B25" s="27" t="s">
        <v>52</v>
      </c>
      <c r="C25" s="10" t="s">
        <v>818</v>
      </c>
      <c r="D25" s="10" t="s">
        <v>819</v>
      </c>
      <c r="E25" s="27" t="s">
        <v>25</v>
      </c>
      <c r="F25" s="27" t="s">
        <v>231</v>
      </c>
      <c r="G25" s="27" t="s">
        <v>111</v>
      </c>
      <c r="H25" s="40">
        <f ca="1">Tabel4[[#This Row],[KEHADIRAN]]/100</f>
        <v>0.9</v>
      </c>
    </row>
    <row r="26" spans="2:8" x14ac:dyDescent="0.25">
      <c r="B26" s="27" t="s">
        <v>55</v>
      </c>
      <c r="C26" s="10" t="s">
        <v>822</v>
      </c>
      <c r="D26" s="10" t="s">
        <v>823</v>
      </c>
      <c r="E26" s="27" t="s">
        <v>31</v>
      </c>
      <c r="F26" s="27" t="s">
        <v>223</v>
      </c>
      <c r="G26" s="27" t="s">
        <v>113</v>
      </c>
      <c r="H26" s="40">
        <f ca="1">Tabel4[[#This Row],[KEHADIRAN]]/100</f>
        <v>0.88</v>
      </c>
    </row>
    <row r="27" spans="2:8" x14ac:dyDescent="0.25">
      <c r="B27" s="27" t="s">
        <v>56</v>
      </c>
      <c r="C27" s="10" t="s">
        <v>844</v>
      </c>
      <c r="D27" s="10" t="s">
        <v>845</v>
      </c>
      <c r="E27" s="27" t="s">
        <v>6</v>
      </c>
      <c r="F27" s="27" t="s">
        <v>175</v>
      </c>
      <c r="G27" s="27" t="s">
        <v>846</v>
      </c>
      <c r="H27" s="40">
        <f ca="1">Tabel4[[#This Row],[KEHADIRAN]]/100</f>
        <v>0</v>
      </c>
    </row>
    <row r="28" spans="2:8" x14ac:dyDescent="0.25">
      <c r="B28" s="27" t="s">
        <v>47</v>
      </c>
      <c r="C28" s="10" t="s">
        <v>866</v>
      </c>
      <c r="D28" s="10" t="s">
        <v>867</v>
      </c>
      <c r="E28" s="27" t="s">
        <v>31</v>
      </c>
      <c r="F28" s="27" t="s">
        <v>216</v>
      </c>
      <c r="G28" s="27" t="s">
        <v>239</v>
      </c>
      <c r="H28" s="40">
        <f ca="1">Tabel4[[#This Row],[KEHADIRAN]]/100</f>
        <v>0.88</v>
      </c>
    </row>
    <row r="29" spans="2:8" x14ac:dyDescent="0.25">
      <c r="B29" s="27" t="s">
        <v>58</v>
      </c>
      <c r="C29" s="10" t="s">
        <v>885</v>
      </c>
      <c r="D29" s="10" t="s">
        <v>886</v>
      </c>
      <c r="E29" s="27" t="s">
        <v>6</v>
      </c>
      <c r="F29" s="27" t="s">
        <v>200</v>
      </c>
      <c r="G29" s="27" t="s">
        <v>190</v>
      </c>
      <c r="H29" s="40">
        <f ca="1">Tabel4[[#This Row],[KEHADIRAN]]/100</f>
        <v>0</v>
      </c>
    </row>
    <row r="30" spans="2:8" x14ac:dyDescent="0.25">
      <c r="B30" s="27" t="s">
        <v>59</v>
      </c>
      <c r="C30" s="10" t="s">
        <v>891</v>
      </c>
      <c r="D30" s="10" t="s">
        <v>892</v>
      </c>
      <c r="E30" s="27" t="s">
        <v>6</v>
      </c>
      <c r="F30" s="27" t="s">
        <v>168</v>
      </c>
      <c r="G30" s="27" t="s">
        <v>418</v>
      </c>
      <c r="H30" s="40">
        <f ca="1">Tabel4[[#This Row],[KEHADIRAN]]/100</f>
        <v>0</v>
      </c>
    </row>
    <row r="31" spans="2:8" x14ac:dyDescent="0.25">
      <c r="B31" s="27" t="s">
        <v>61</v>
      </c>
      <c r="C31" s="10" t="s">
        <v>895</v>
      </c>
      <c r="D31" s="10" t="s">
        <v>896</v>
      </c>
      <c r="E31" s="27" t="s">
        <v>31</v>
      </c>
      <c r="F31" s="27" t="s">
        <v>216</v>
      </c>
      <c r="G31" s="27" t="s">
        <v>241</v>
      </c>
      <c r="H31" s="40">
        <f ca="1">Tabel4[[#This Row],[KEHADIRAN]]/100</f>
        <v>0.87</v>
      </c>
    </row>
    <row r="32" spans="2:8" x14ac:dyDescent="0.25">
      <c r="B32" s="27" t="s">
        <v>63</v>
      </c>
      <c r="C32" s="10" t="s">
        <v>903</v>
      </c>
      <c r="D32" s="10" t="s">
        <v>904</v>
      </c>
      <c r="E32" s="27" t="s">
        <v>31</v>
      </c>
      <c r="F32" s="27" t="s">
        <v>223</v>
      </c>
      <c r="G32" s="27" t="s">
        <v>111</v>
      </c>
      <c r="H32" s="40">
        <f ca="1">Tabel4[[#This Row],[KEHADIRAN]]/100</f>
        <v>0.88</v>
      </c>
    </row>
    <row r="33" spans="2:8" x14ac:dyDescent="0.25">
      <c r="B33" s="27" t="s">
        <v>64</v>
      </c>
      <c r="C33" s="10" t="s">
        <v>913</v>
      </c>
      <c r="D33" s="10" t="s">
        <v>914</v>
      </c>
      <c r="E33" s="27" t="s">
        <v>31</v>
      </c>
      <c r="F33" s="27" t="s">
        <v>26</v>
      </c>
      <c r="G33" s="27" t="s">
        <v>481</v>
      </c>
      <c r="H33" s="40">
        <f ca="1">Tabel4[[#This Row],[KEHADIRAN]]/100</f>
        <v>0.84</v>
      </c>
    </row>
    <row r="34" spans="2:8" x14ac:dyDescent="0.25">
      <c r="B34" s="27" t="s">
        <v>65</v>
      </c>
      <c r="C34" s="10" t="s">
        <v>929</v>
      </c>
      <c r="D34" s="10" t="s">
        <v>930</v>
      </c>
      <c r="E34" s="27" t="s">
        <v>31</v>
      </c>
      <c r="F34" s="27" t="s">
        <v>135</v>
      </c>
      <c r="G34" s="27" t="s">
        <v>143</v>
      </c>
      <c r="H34" s="40">
        <f ca="1">Tabel4[[#This Row],[KEHADIRAN]]/100</f>
        <v>0.81</v>
      </c>
    </row>
    <row r="35" spans="2:8" x14ac:dyDescent="0.25">
      <c r="B35" s="27" t="s">
        <v>66</v>
      </c>
      <c r="C35" s="10" t="s">
        <v>938</v>
      </c>
      <c r="D35" s="10" t="s">
        <v>939</v>
      </c>
      <c r="E35" s="27" t="s">
        <v>25</v>
      </c>
      <c r="F35" s="27" t="s">
        <v>223</v>
      </c>
      <c r="G35" s="27" t="s">
        <v>122</v>
      </c>
      <c r="H35" s="40">
        <f ca="1">Tabel4[[#This Row],[KEHADIRAN]]/100</f>
        <v>0.95</v>
      </c>
    </row>
    <row r="36" spans="2:8" x14ac:dyDescent="0.25">
      <c r="B36" s="27" t="s">
        <v>68</v>
      </c>
      <c r="C36" s="10" t="s">
        <v>940</v>
      </c>
      <c r="D36" s="10" t="s">
        <v>941</v>
      </c>
      <c r="E36" s="27" t="s">
        <v>25</v>
      </c>
      <c r="F36" s="27" t="s">
        <v>228</v>
      </c>
      <c r="G36" s="27" t="s">
        <v>271</v>
      </c>
      <c r="H36" s="40">
        <f ca="1">Tabel4[[#This Row],[KEHADIRAN]]/100</f>
        <v>0.82</v>
      </c>
    </row>
    <row r="37" spans="2:8" x14ac:dyDescent="0.25">
      <c r="B37" s="27" t="s">
        <v>69</v>
      </c>
      <c r="C37" s="10" t="s">
        <v>946</v>
      </c>
      <c r="D37" s="10" t="s">
        <v>947</v>
      </c>
      <c r="E37" s="27" t="s">
        <v>25</v>
      </c>
      <c r="F37" s="27" t="s">
        <v>219</v>
      </c>
      <c r="G37" s="27" t="s">
        <v>127</v>
      </c>
      <c r="H37" s="40">
        <f ca="1">Tabel4[[#This Row],[KEHADIRAN]]/100</f>
        <v>0.86</v>
      </c>
    </row>
    <row r="38" spans="2:8" x14ac:dyDescent="0.25">
      <c r="B38" s="27" t="s">
        <v>72</v>
      </c>
      <c r="C38" s="10" t="s">
        <v>958</v>
      </c>
      <c r="D38" s="10" t="s">
        <v>959</v>
      </c>
      <c r="E38" s="27" t="s">
        <v>25</v>
      </c>
      <c r="F38" s="27" t="s">
        <v>51</v>
      </c>
      <c r="G38" s="27" t="s">
        <v>169</v>
      </c>
      <c r="H38" s="40">
        <f ca="1">Tabel4[[#This Row],[KEHADIRAN]]/100</f>
        <v>0.88</v>
      </c>
    </row>
    <row r="39" spans="2:8" x14ac:dyDescent="0.25">
      <c r="B39" s="27" t="s">
        <v>73</v>
      </c>
      <c r="C39" s="10" t="s">
        <v>960</v>
      </c>
      <c r="D39" s="10" t="s">
        <v>961</v>
      </c>
      <c r="E39" s="27" t="s">
        <v>25</v>
      </c>
      <c r="F39" s="27" t="s">
        <v>51</v>
      </c>
      <c r="G39" s="27" t="s">
        <v>146</v>
      </c>
      <c r="H39" s="40">
        <f ca="1">Tabel4[[#This Row],[KEHADIRAN]]/100</f>
        <v>0.98</v>
      </c>
    </row>
    <row r="40" spans="2:8" x14ac:dyDescent="0.25">
      <c r="B40" s="27" t="s">
        <v>75</v>
      </c>
      <c r="C40" s="10" t="s">
        <v>962</v>
      </c>
      <c r="D40" s="10" t="s">
        <v>963</v>
      </c>
      <c r="E40" s="27" t="s">
        <v>25</v>
      </c>
      <c r="F40" s="27" t="s">
        <v>51</v>
      </c>
      <c r="G40" s="27" t="s">
        <v>169</v>
      </c>
      <c r="H40" s="40">
        <f ca="1">Tabel4[[#This Row],[KEHADIRAN]]/100</f>
        <v>0.82</v>
      </c>
    </row>
    <row r="41" spans="2:8" x14ac:dyDescent="0.25">
      <c r="B41" s="27" t="s">
        <v>76</v>
      </c>
      <c r="C41" s="10" t="s">
        <v>964</v>
      </c>
      <c r="D41" s="10" t="s">
        <v>965</v>
      </c>
      <c r="E41" s="27" t="s">
        <v>25</v>
      </c>
      <c r="F41" s="27" t="s">
        <v>51</v>
      </c>
      <c r="G41" s="27" t="s">
        <v>239</v>
      </c>
      <c r="H41" s="40">
        <f ca="1">Tabel4[[#This Row],[KEHADIRAN]]/100</f>
        <v>0.89</v>
      </c>
    </row>
    <row r="42" spans="2:8" x14ac:dyDescent="0.25">
      <c r="B42" s="27" t="s">
        <v>78</v>
      </c>
      <c r="C42" s="10" t="s">
        <v>966</v>
      </c>
      <c r="D42" s="10" t="s">
        <v>967</v>
      </c>
      <c r="E42" s="27" t="s">
        <v>25</v>
      </c>
      <c r="F42" s="27" t="s">
        <v>51</v>
      </c>
      <c r="G42" s="27" t="s">
        <v>229</v>
      </c>
      <c r="H42" s="40">
        <f ca="1">Tabel4[[#This Row],[KEHADIRAN]]/100</f>
        <v>0.95</v>
      </c>
    </row>
    <row r="43" spans="2:8" x14ac:dyDescent="0.25">
      <c r="B43" s="27" t="s">
        <v>79</v>
      </c>
      <c r="C43" s="10" t="s">
        <v>968</v>
      </c>
      <c r="D43" s="10" t="s">
        <v>969</v>
      </c>
      <c r="E43" s="27" t="s">
        <v>31</v>
      </c>
      <c r="F43" s="27" t="s">
        <v>51</v>
      </c>
      <c r="G43" s="27" t="s">
        <v>293</v>
      </c>
      <c r="H43" s="40">
        <f ca="1">Tabel4[[#This Row],[KEHADIRAN]]/100</f>
        <v>0.83</v>
      </c>
    </row>
    <row r="44" spans="2:8" x14ac:dyDescent="0.25">
      <c r="B44" s="27" t="s">
        <v>81</v>
      </c>
      <c r="C44" s="10" t="s">
        <v>970</v>
      </c>
      <c r="D44" s="10" t="s">
        <v>971</v>
      </c>
      <c r="E44" s="27" t="s">
        <v>25</v>
      </c>
      <c r="F44" s="27" t="s">
        <v>51</v>
      </c>
      <c r="G44" s="27" t="s">
        <v>280</v>
      </c>
      <c r="H44" s="40">
        <f ca="1">Tabel4[[#This Row],[KEHADIRAN]]/100</f>
        <v>0.89</v>
      </c>
    </row>
    <row r="45" spans="2:8" x14ac:dyDescent="0.25">
      <c r="B45" s="27" t="s">
        <v>82</v>
      </c>
      <c r="C45" s="10" t="s">
        <v>972</v>
      </c>
      <c r="D45" s="10" t="s">
        <v>973</v>
      </c>
      <c r="E45" s="27" t="s">
        <v>25</v>
      </c>
      <c r="F45" s="27" t="s">
        <v>51</v>
      </c>
      <c r="G45" s="27" t="s">
        <v>298</v>
      </c>
      <c r="H45" s="40">
        <f ca="1">Tabel4[[#This Row],[KEHADIRAN]]/100</f>
        <v>0.85</v>
      </c>
    </row>
    <row r="46" spans="2:8" x14ac:dyDescent="0.25">
      <c r="B46" s="27" t="s">
        <v>17</v>
      </c>
      <c r="C46" s="10" t="s">
        <v>974</v>
      </c>
      <c r="D46" s="10" t="s">
        <v>975</v>
      </c>
      <c r="E46" s="27" t="s">
        <v>25</v>
      </c>
      <c r="F46" s="27" t="s">
        <v>51</v>
      </c>
      <c r="G46" s="27" t="s">
        <v>332</v>
      </c>
      <c r="H46" s="40">
        <f ca="1">Tabel4[[#This Row],[KEHADIRAN]]/100</f>
        <v>0.99</v>
      </c>
    </row>
    <row r="47" spans="2:8" x14ac:dyDescent="0.25">
      <c r="B47" s="27" t="s">
        <v>84</v>
      </c>
      <c r="C47" s="10" t="s">
        <v>976</v>
      </c>
      <c r="D47" s="10" t="s">
        <v>977</v>
      </c>
      <c r="E47" s="27" t="s">
        <v>25</v>
      </c>
      <c r="F47" s="27" t="s">
        <v>51</v>
      </c>
      <c r="G47" s="27" t="s">
        <v>143</v>
      </c>
      <c r="H47" s="40">
        <f ca="1">Tabel4[[#This Row],[KEHADIRAN]]/100</f>
        <v>0.96</v>
      </c>
    </row>
    <row r="48" spans="2:8" x14ac:dyDescent="0.25">
      <c r="B48" s="27" t="s">
        <v>86</v>
      </c>
      <c r="C48" s="10" t="s">
        <v>978</v>
      </c>
      <c r="D48" s="10" t="s">
        <v>979</v>
      </c>
      <c r="E48" s="27" t="s">
        <v>25</v>
      </c>
      <c r="F48" s="27" t="s">
        <v>51</v>
      </c>
      <c r="G48" s="27" t="s">
        <v>257</v>
      </c>
      <c r="H48" s="40">
        <f ca="1">Tabel4[[#This Row],[KEHADIRAN]]/100</f>
        <v>1</v>
      </c>
    </row>
    <row r="49" spans="2:8" x14ac:dyDescent="0.25">
      <c r="B49" s="27" t="s">
        <v>87</v>
      </c>
      <c r="C49" s="10" t="s">
        <v>980</v>
      </c>
      <c r="D49" s="10" t="s">
        <v>981</v>
      </c>
      <c r="E49" s="27" t="s">
        <v>25</v>
      </c>
      <c r="F49" s="27" t="s">
        <v>51</v>
      </c>
      <c r="G49" s="27" t="s">
        <v>158</v>
      </c>
      <c r="H49" s="40">
        <f ca="1">Tabel4[[#This Row],[KEHADIRAN]]/100</f>
        <v>0.87</v>
      </c>
    </row>
    <row r="50" spans="2:8" x14ac:dyDescent="0.25">
      <c r="B50" s="27" t="s">
        <v>90</v>
      </c>
      <c r="C50" s="10" t="s">
        <v>982</v>
      </c>
      <c r="D50" s="10" t="s">
        <v>983</v>
      </c>
      <c r="E50" s="27" t="s">
        <v>31</v>
      </c>
      <c r="F50" s="27" t="s">
        <v>51</v>
      </c>
      <c r="G50" s="27" t="s">
        <v>74</v>
      </c>
      <c r="H50" s="40">
        <f ca="1">Tabel4[[#This Row],[KEHADIRAN]]/100</f>
        <v>0.81</v>
      </c>
    </row>
    <row r="51" spans="2:8" x14ac:dyDescent="0.25">
      <c r="B51" s="27" t="s">
        <v>92</v>
      </c>
      <c r="C51" s="10" t="s">
        <v>984</v>
      </c>
      <c r="D51" s="10" t="s">
        <v>985</v>
      </c>
      <c r="E51" s="27" t="s">
        <v>319</v>
      </c>
      <c r="F51" s="27" t="s">
        <v>164</v>
      </c>
      <c r="G51" s="27" t="s">
        <v>36</v>
      </c>
      <c r="H51" s="40">
        <f ca="1">Tabel4[[#This Row],[KEHADIRAN]]/100</f>
        <v>0</v>
      </c>
    </row>
    <row r="52" spans="2:8" x14ac:dyDescent="0.25">
      <c r="B52" s="27" t="s">
        <v>93</v>
      </c>
      <c r="C52" s="10" t="s">
        <v>986</v>
      </c>
      <c r="D52" s="10" t="s">
        <v>406</v>
      </c>
      <c r="E52" s="27" t="s">
        <v>25</v>
      </c>
      <c r="F52" s="27" t="s">
        <v>51</v>
      </c>
      <c r="G52" s="27" t="s">
        <v>332</v>
      </c>
      <c r="H52" s="40">
        <f ca="1">Tabel4[[#This Row],[KEHADIRAN]]/100</f>
        <v>0.9</v>
      </c>
    </row>
    <row r="53" spans="2:8" x14ac:dyDescent="0.25">
      <c r="B53" s="27" t="s">
        <v>96</v>
      </c>
      <c r="C53" s="10" t="s">
        <v>987</v>
      </c>
      <c r="D53" s="10" t="s">
        <v>988</v>
      </c>
      <c r="E53" s="27" t="s">
        <v>25</v>
      </c>
      <c r="F53" s="27" t="s">
        <v>51</v>
      </c>
      <c r="G53" s="27" t="s">
        <v>172</v>
      </c>
      <c r="H53" s="40">
        <f ca="1">Tabel4[[#This Row],[KEHADIRAN]]/100</f>
        <v>0.9</v>
      </c>
    </row>
    <row r="54" spans="2:8" x14ac:dyDescent="0.25">
      <c r="B54" s="27" t="s">
        <v>98</v>
      </c>
      <c r="C54" s="10" t="s">
        <v>989</v>
      </c>
      <c r="D54" s="10" t="s">
        <v>990</v>
      </c>
      <c r="E54" s="27" t="s">
        <v>25</v>
      </c>
      <c r="F54" s="27" t="s">
        <v>51</v>
      </c>
      <c r="G54" s="27" t="s">
        <v>115</v>
      </c>
      <c r="H54" s="40">
        <f ca="1">Tabel4[[#This Row],[KEHADIRAN]]/100</f>
        <v>0.93</v>
      </c>
    </row>
    <row r="55" spans="2:8" x14ac:dyDescent="0.25">
      <c r="B55" s="27" t="s">
        <v>99</v>
      </c>
      <c r="C55" s="10" t="s">
        <v>991</v>
      </c>
      <c r="D55" s="10" t="s">
        <v>992</v>
      </c>
      <c r="E55" s="27" t="s">
        <v>25</v>
      </c>
      <c r="F55" s="27" t="s">
        <v>51</v>
      </c>
      <c r="G55" s="27" t="s">
        <v>267</v>
      </c>
      <c r="H55" s="40">
        <f ca="1">Tabel4[[#This Row],[KEHADIRAN]]/100</f>
        <v>0.85</v>
      </c>
    </row>
    <row r="56" spans="2:8" x14ac:dyDescent="0.25">
      <c r="B56" s="27" t="s">
        <v>100</v>
      </c>
      <c r="C56" s="10" t="s">
        <v>993</v>
      </c>
      <c r="D56" s="10" t="s">
        <v>994</v>
      </c>
      <c r="E56" s="27" t="s">
        <v>25</v>
      </c>
      <c r="F56" s="27" t="s">
        <v>51</v>
      </c>
      <c r="G56" s="27" t="s">
        <v>139</v>
      </c>
      <c r="H56" s="40">
        <f ca="1">Tabel4[[#This Row],[KEHADIRAN]]/100</f>
        <v>0.86</v>
      </c>
    </row>
    <row r="57" spans="2:8" x14ac:dyDescent="0.25">
      <c r="B57" s="27" t="s">
        <v>101</v>
      </c>
      <c r="C57" s="10" t="s">
        <v>995</v>
      </c>
      <c r="D57" s="10" t="s">
        <v>996</v>
      </c>
      <c r="E57" s="27" t="s">
        <v>25</v>
      </c>
      <c r="F57" s="27" t="s">
        <v>51</v>
      </c>
      <c r="G57" s="27" t="s">
        <v>293</v>
      </c>
      <c r="H57" s="40">
        <f ca="1">Tabel4[[#This Row],[KEHADIRAN]]/100</f>
        <v>0.95</v>
      </c>
    </row>
    <row r="58" spans="2:8" x14ac:dyDescent="0.25">
      <c r="B58" s="27" t="s">
        <v>103</v>
      </c>
      <c r="C58" s="10" t="s">
        <v>997</v>
      </c>
      <c r="D58" s="10" t="s">
        <v>998</v>
      </c>
      <c r="E58" s="27" t="s">
        <v>25</v>
      </c>
      <c r="F58" s="27" t="s">
        <v>51</v>
      </c>
      <c r="G58" s="27" t="s">
        <v>127</v>
      </c>
      <c r="H58" s="40">
        <f ca="1">Tabel4[[#This Row],[KEHADIRAN]]/100</f>
        <v>0.96</v>
      </c>
    </row>
    <row r="59" spans="2:8" x14ac:dyDescent="0.25">
      <c r="B59" s="27" t="s">
        <v>104</v>
      </c>
      <c r="C59" s="10" t="s">
        <v>999</v>
      </c>
      <c r="D59" s="10" t="s">
        <v>1000</v>
      </c>
      <c r="E59" s="27" t="s">
        <v>25</v>
      </c>
      <c r="F59" s="27" t="s">
        <v>51</v>
      </c>
      <c r="G59" s="27" t="s">
        <v>412</v>
      </c>
      <c r="H59" s="40">
        <f ca="1">Tabel4[[#This Row],[KEHADIRAN]]/100</f>
        <v>0.86</v>
      </c>
    </row>
    <row r="60" spans="2:8" x14ac:dyDescent="0.25">
      <c r="B60" s="27" t="s">
        <v>105</v>
      </c>
      <c r="C60" s="10" t="s">
        <v>1001</v>
      </c>
      <c r="D60" s="10" t="s">
        <v>1002</v>
      </c>
      <c r="E60" s="27" t="s">
        <v>25</v>
      </c>
      <c r="F60" s="27" t="s">
        <v>51</v>
      </c>
      <c r="G60" s="27" t="s">
        <v>332</v>
      </c>
      <c r="H60" s="40">
        <f ca="1">Tabel4[[#This Row],[KEHADIRAN]]/100</f>
        <v>0.9</v>
      </c>
    </row>
    <row r="61" spans="2:8" x14ac:dyDescent="0.25">
      <c r="B61" s="27" t="s">
        <v>106</v>
      </c>
      <c r="C61" s="10" t="s">
        <v>1003</v>
      </c>
      <c r="D61" s="10" t="s">
        <v>1004</v>
      </c>
      <c r="E61" s="27" t="s">
        <v>31</v>
      </c>
      <c r="F61" s="27" t="s">
        <v>51</v>
      </c>
      <c r="G61" s="27" t="s">
        <v>402</v>
      </c>
      <c r="H61" s="40">
        <f ca="1">Tabel4[[#This Row],[KEHADIRAN]]/100</f>
        <v>0.83</v>
      </c>
    </row>
    <row r="62" spans="2:8" x14ac:dyDescent="0.25">
      <c r="B62" s="27" t="s">
        <v>107</v>
      </c>
      <c r="C62" s="10" t="s">
        <v>1005</v>
      </c>
      <c r="D62" s="10" t="s">
        <v>1006</v>
      </c>
      <c r="E62" s="27" t="s">
        <v>31</v>
      </c>
      <c r="F62" s="27" t="s">
        <v>51</v>
      </c>
      <c r="G62" s="27" t="s">
        <v>414</v>
      </c>
      <c r="H62" s="40">
        <f ca="1">Tabel4[[#This Row],[KEHADIRAN]]/100</f>
        <v>0.97</v>
      </c>
    </row>
    <row r="63" spans="2:8" x14ac:dyDescent="0.25">
      <c r="B63" s="27" t="s">
        <v>108</v>
      </c>
      <c r="C63" s="10" t="s">
        <v>1007</v>
      </c>
      <c r="D63" s="10" t="s">
        <v>1008</v>
      </c>
      <c r="E63" s="27" t="s">
        <v>25</v>
      </c>
      <c r="F63" s="27" t="s">
        <v>51</v>
      </c>
      <c r="G63" s="27" t="s">
        <v>409</v>
      </c>
      <c r="H63" s="40">
        <f ca="1">Tabel4[[#This Row],[KEHADIRAN]]/100</f>
        <v>0.88</v>
      </c>
    </row>
    <row r="64" spans="2:8" x14ac:dyDescent="0.25">
      <c r="B64" s="27" t="s">
        <v>109</v>
      </c>
      <c r="C64" s="10" t="s">
        <v>1009</v>
      </c>
      <c r="D64" s="10" t="s">
        <v>1010</v>
      </c>
      <c r="E64" s="27" t="s">
        <v>6</v>
      </c>
      <c r="F64" s="27" t="s">
        <v>109</v>
      </c>
      <c r="G64" s="27" t="s">
        <v>355</v>
      </c>
      <c r="H64" s="40">
        <f ca="1">Tabel4[[#This Row],[KEHADIRAN]]/100</f>
        <v>0</v>
      </c>
    </row>
    <row r="65" spans="2:8" x14ac:dyDescent="0.25">
      <c r="B65" s="27" t="s">
        <v>110</v>
      </c>
      <c r="C65" s="10" t="s">
        <v>1011</v>
      </c>
      <c r="D65" s="10" t="s">
        <v>1012</v>
      </c>
      <c r="E65" s="27" t="s">
        <v>25</v>
      </c>
      <c r="F65" s="27" t="s">
        <v>51</v>
      </c>
      <c r="G65" s="27" t="s">
        <v>280</v>
      </c>
      <c r="H65" s="40">
        <f ca="1">Tabel4[[#This Row],[KEHADIRAN]]/100</f>
        <v>0.87</v>
      </c>
    </row>
    <row r="66" spans="2:8" x14ac:dyDescent="0.25">
      <c r="B66" s="27" t="s">
        <v>112</v>
      </c>
      <c r="C66" s="10" t="s">
        <v>1013</v>
      </c>
      <c r="D66" s="10" t="s">
        <v>1014</v>
      </c>
      <c r="E66" s="27" t="s">
        <v>25</v>
      </c>
      <c r="F66" s="27" t="s">
        <v>51</v>
      </c>
      <c r="G66" s="27" t="s">
        <v>323</v>
      </c>
      <c r="H66" s="40">
        <f ca="1">Tabel4[[#This Row],[KEHADIRAN]]/100</f>
        <v>0.95</v>
      </c>
    </row>
    <row r="67" spans="2:8" x14ac:dyDescent="0.25">
      <c r="B67" s="27" t="s">
        <v>114</v>
      </c>
      <c r="C67" s="10" t="s">
        <v>1015</v>
      </c>
      <c r="D67" s="10" t="s">
        <v>1016</v>
      </c>
      <c r="E67" s="27" t="s">
        <v>31</v>
      </c>
      <c r="F67" s="27" t="s">
        <v>51</v>
      </c>
      <c r="G67" s="27" t="s">
        <v>143</v>
      </c>
      <c r="H67" s="40">
        <f ca="1">Tabel4[[#This Row],[KEHADIRAN]]/100</f>
        <v>0.98</v>
      </c>
    </row>
    <row r="68" spans="2:8" x14ac:dyDescent="0.25">
      <c r="B68" s="27" t="s">
        <v>116</v>
      </c>
      <c r="C68" s="10" t="s">
        <v>1017</v>
      </c>
      <c r="D68" s="10" t="s">
        <v>1018</v>
      </c>
      <c r="E68" s="27" t="s">
        <v>25</v>
      </c>
      <c r="F68" s="27" t="s">
        <v>51</v>
      </c>
      <c r="G68" s="27" t="s">
        <v>117</v>
      </c>
      <c r="H68" s="40">
        <f ca="1">Tabel4[[#This Row],[KEHADIRAN]]/100</f>
        <v>0.83</v>
      </c>
    </row>
    <row r="69" spans="2:8" x14ac:dyDescent="0.25">
      <c r="B69" s="27" t="s">
        <v>118</v>
      </c>
      <c r="C69" s="10" t="s">
        <v>1019</v>
      </c>
      <c r="D69" s="10" t="s">
        <v>1020</v>
      </c>
      <c r="E69" s="27" t="s">
        <v>25</v>
      </c>
      <c r="F69" s="27" t="s">
        <v>51</v>
      </c>
      <c r="G69" s="27" t="s">
        <v>355</v>
      </c>
      <c r="H69" s="40">
        <f ca="1">Tabel4[[#This Row],[KEHADIRAN]]/100</f>
        <v>0.84</v>
      </c>
    </row>
    <row r="70" spans="2:8" x14ac:dyDescent="0.25">
      <c r="B70" s="27" t="s">
        <v>120</v>
      </c>
      <c r="C70" s="10" t="s">
        <v>1021</v>
      </c>
      <c r="D70" s="10" t="s">
        <v>1022</v>
      </c>
      <c r="E70" s="27" t="s">
        <v>25</v>
      </c>
      <c r="F70" s="27" t="s">
        <v>51</v>
      </c>
      <c r="G70" s="27" t="s">
        <v>418</v>
      </c>
      <c r="H70" s="40">
        <f ca="1">Tabel4[[#This Row],[KEHADIRAN]]/100</f>
        <v>1</v>
      </c>
    </row>
    <row r="71" spans="2:8" x14ac:dyDescent="0.25">
      <c r="B71" s="27" t="s">
        <v>11</v>
      </c>
      <c r="C71" s="10" t="s">
        <v>1023</v>
      </c>
      <c r="D71" s="10" t="s">
        <v>1024</v>
      </c>
      <c r="E71" s="27" t="s">
        <v>31</v>
      </c>
      <c r="F71" s="27" t="s">
        <v>51</v>
      </c>
      <c r="G71" s="27" t="s">
        <v>241</v>
      </c>
      <c r="H71" s="40">
        <f ca="1">Tabel4[[#This Row],[KEHADIRAN]]/100</f>
        <v>0.99</v>
      </c>
    </row>
    <row r="72" spans="2:8" x14ac:dyDescent="0.25">
      <c r="B72" s="27" t="s">
        <v>123</v>
      </c>
      <c r="C72" s="10" t="s">
        <v>1025</v>
      </c>
      <c r="D72" s="10" t="s">
        <v>1026</v>
      </c>
      <c r="E72" s="27" t="s">
        <v>25</v>
      </c>
      <c r="F72" s="27" t="s">
        <v>51</v>
      </c>
      <c r="G72" s="27" t="s">
        <v>146</v>
      </c>
      <c r="H72" s="40">
        <f ca="1">Tabel4[[#This Row],[KEHADIRAN]]/100</f>
        <v>0.87</v>
      </c>
    </row>
    <row r="73" spans="2:8" x14ac:dyDescent="0.25">
      <c r="B73" s="27" t="s">
        <v>125</v>
      </c>
      <c r="C73" s="10" t="s">
        <v>1027</v>
      </c>
      <c r="D73" s="10" t="s">
        <v>1028</v>
      </c>
      <c r="E73" s="27" t="s">
        <v>31</v>
      </c>
      <c r="F73" s="27" t="s">
        <v>51</v>
      </c>
      <c r="G73" s="27" t="s">
        <v>234</v>
      </c>
      <c r="H73" s="40">
        <f ca="1">Tabel4[[#This Row],[KEHADIRAN]]/100</f>
        <v>0.85</v>
      </c>
    </row>
    <row r="74" spans="2:8" x14ac:dyDescent="0.25">
      <c r="B74" s="27" t="s">
        <v>126</v>
      </c>
      <c r="C74" s="10" t="s">
        <v>1029</v>
      </c>
      <c r="D74" s="10" t="s">
        <v>1030</v>
      </c>
      <c r="E74" s="27" t="s">
        <v>31</v>
      </c>
      <c r="F74" s="27" t="s">
        <v>51</v>
      </c>
      <c r="G74" s="27" t="s">
        <v>143</v>
      </c>
      <c r="H74" s="40">
        <f ca="1">Tabel4[[#This Row],[KEHADIRAN]]/100</f>
        <v>0.82</v>
      </c>
    </row>
    <row r="75" spans="2:8" x14ac:dyDescent="0.25">
      <c r="B75" s="27" t="s">
        <v>128</v>
      </c>
      <c r="C75" s="10" t="s">
        <v>1031</v>
      </c>
      <c r="D75" s="10" t="s">
        <v>825</v>
      </c>
      <c r="E75" s="27" t="s">
        <v>31</v>
      </c>
      <c r="F75" s="27" t="s">
        <v>135</v>
      </c>
      <c r="G75" s="27" t="s">
        <v>121</v>
      </c>
      <c r="H75" s="40">
        <f ca="1">Tabel4[[#This Row],[KEHADIRAN]]/100</f>
        <v>0.91</v>
      </c>
    </row>
    <row r="76" spans="2:8" x14ac:dyDescent="0.25">
      <c r="B76" s="27" t="s">
        <v>129</v>
      </c>
      <c r="C76" s="10" t="s">
        <v>1032</v>
      </c>
      <c r="D76" s="10" t="s">
        <v>1033</v>
      </c>
      <c r="E76" s="27" t="s">
        <v>25</v>
      </c>
      <c r="F76" s="27" t="s">
        <v>51</v>
      </c>
      <c r="G76" s="27" t="s">
        <v>280</v>
      </c>
      <c r="H76" s="40">
        <f ca="1">Tabel4[[#This Row],[KEHADIRAN]]/100</f>
        <v>0.92</v>
      </c>
    </row>
    <row r="77" spans="2:8" x14ac:dyDescent="0.25">
      <c r="B77" s="27" t="s">
        <v>131</v>
      </c>
      <c r="C77" s="10" t="s">
        <v>1034</v>
      </c>
      <c r="D77" s="10" t="s">
        <v>1035</v>
      </c>
      <c r="E77" s="27" t="s">
        <v>25</v>
      </c>
      <c r="F77" s="27" t="s">
        <v>51</v>
      </c>
      <c r="G77" s="27" t="s">
        <v>177</v>
      </c>
      <c r="H77" s="40">
        <f ca="1">Tabel4[[#This Row],[KEHADIRAN]]/100</f>
        <v>0.95</v>
      </c>
    </row>
    <row r="78" spans="2:8" x14ac:dyDescent="0.25">
      <c r="B78" s="27" t="s">
        <v>133</v>
      </c>
      <c r="C78" s="10" t="s">
        <v>1036</v>
      </c>
      <c r="D78" s="10" t="s">
        <v>1037</v>
      </c>
      <c r="E78" s="27" t="s">
        <v>31</v>
      </c>
      <c r="F78" s="27" t="s">
        <v>51</v>
      </c>
      <c r="G78" s="27" t="s">
        <v>80</v>
      </c>
      <c r="H78" s="40">
        <f ca="1">Tabel4[[#This Row],[KEHADIRAN]]/100</f>
        <v>0.95</v>
      </c>
    </row>
    <row r="79" spans="2:8" x14ac:dyDescent="0.25">
      <c r="B79" s="27" t="s">
        <v>134</v>
      </c>
      <c r="C79" s="10" t="s">
        <v>1038</v>
      </c>
      <c r="D79" s="10" t="s">
        <v>1039</v>
      </c>
      <c r="E79" s="27" t="s">
        <v>25</v>
      </c>
      <c r="F79" s="27" t="s">
        <v>51</v>
      </c>
      <c r="G79" s="27" t="s">
        <v>146</v>
      </c>
      <c r="H79" s="40">
        <f ca="1">Tabel4[[#This Row],[KEHADIRAN]]/100</f>
        <v>0.95</v>
      </c>
    </row>
    <row r="80" spans="2:8" x14ac:dyDescent="0.25">
      <c r="B80" s="27" t="s">
        <v>136</v>
      </c>
      <c r="C80" s="10" t="s">
        <v>1040</v>
      </c>
      <c r="D80" s="10" t="s">
        <v>1041</v>
      </c>
      <c r="E80" s="27" t="s">
        <v>25</v>
      </c>
      <c r="F80" s="27" t="s">
        <v>51</v>
      </c>
      <c r="G80" s="27" t="s">
        <v>234</v>
      </c>
      <c r="H80" s="40">
        <f ca="1">Tabel4[[#This Row],[KEHADIRAN]]/100</f>
        <v>0.97</v>
      </c>
    </row>
    <row r="81" spans="2:8" x14ac:dyDescent="0.25">
      <c r="B81" s="27" t="s">
        <v>138</v>
      </c>
      <c r="C81" s="10" t="s">
        <v>1042</v>
      </c>
      <c r="D81" s="10" t="s">
        <v>1043</v>
      </c>
      <c r="E81" s="27" t="s">
        <v>25</v>
      </c>
      <c r="F81" s="27" t="s">
        <v>51</v>
      </c>
      <c r="G81" s="27" t="s">
        <v>248</v>
      </c>
      <c r="H81" s="40">
        <f ca="1">Tabel4[[#This Row],[KEHADIRAN]]/100</f>
        <v>0.8</v>
      </c>
    </row>
    <row r="82" spans="2:8" x14ac:dyDescent="0.25">
      <c r="B82" s="27" t="s">
        <v>140</v>
      </c>
      <c r="C82" s="10" t="s">
        <v>1044</v>
      </c>
      <c r="D82" s="10" t="s">
        <v>1045</v>
      </c>
      <c r="E82" s="27" t="s">
        <v>25</v>
      </c>
      <c r="F82" s="27" t="s">
        <v>51</v>
      </c>
      <c r="G82" s="27" t="s">
        <v>121</v>
      </c>
      <c r="H82" s="40">
        <f ca="1">Tabel4[[#This Row],[KEHADIRAN]]/100</f>
        <v>0.9</v>
      </c>
    </row>
    <row r="83" spans="2:8" x14ac:dyDescent="0.25">
      <c r="B83" s="27" t="s">
        <v>142</v>
      </c>
      <c r="C83" s="10" t="s">
        <v>1046</v>
      </c>
      <c r="D83" s="10" t="s">
        <v>1047</v>
      </c>
      <c r="E83" s="27" t="s">
        <v>25</v>
      </c>
      <c r="F83" s="27" t="s">
        <v>51</v>
      </c>
      <c r="G83" s="27" t="s">
        <v>169</v>
      </c>
      <c r="H83" s="40">
        <f ca="1">Tabel4[[#This Row],[KEHADIRAN]]/100</f>
        <v>1</v>
      </c>
    </row>
    <row r="84" spans="2:8" x14ac:dyDescent="0.25">
      <c r="B84" s="27" t="s">
        <v>144</v>
      </c>
      <c r="C84" s="10" t="s">
        <v>1048</v>
      </c>
      <c r="D84" s="10" t="s">
        <v>274</v>
      </c>
      <c r="E84" s="27" t="s">
        <v>31</v>
      </c>
      <c r="F84" s="27" t="s">
        <v>51</v>
      </c>
      <c r="G84" s="27" t="s">
        <v>74</v>
      </c>
      <c r="H84" s="40">
        <f ca="1">Tabel4[[#This Row],[KEHADIRAN]]/100</f>
        <v>0.94</v>
      </c>
    </row>
    <row r="85" spans="2:8" x14ac:dyDescent="0.25">
      <c r="B85" s="27" t="s">
        <v>145</v>
      </c>
      <c r="C85" s="10" t="s">
        <v>1049</v>
      </c>
      <c r="D85" s="10" t="s">
        <v>1050</v>
      </c>
      <c r="E85" s="27" t="s">
        <v>25</v>
      </c>
      <c r="F85" s="27" t="s">
        <v>51</v>
      </c>
      <c r="G85" s="27" t="s">
        <v>185</v>
      </c>
      <c r="H85" s="40">
        <f ca="1">Tabel4[[#This Row],[KEHADIRAN]]/100</f>
        <v>0.84</v>
      </c>
    </row>
    <row r="86" spans="2:8" x14ac:dyDescent="0.25">
      <c r="B86" s="27" t="s">
        <v>147</v>
      </c>
      <c r="C86" s="10" t="s">
        <v>1051</v>
      </c>
      <c r="D86" s="10" t="s">
        <v>1052</v>
      </c>
      <c r="E86" s="27" t="s">
        <v>25</v>
      </c>
      <c r="F86" s="27" t="s">
        <v>51</v>
      </c>
      <c r="G86" s="27" t="s">
        <v>257</v>
      </c>
      <c r="H86" s="40">
        <f ca="1">Tabel4[[#This Row],[KEHADIRAN]]/100</f>
        <v>0.8</v>
      </c>
    </row>
    <row r="87" spans="2:8" x14ac:dyDescent="0.25">
      <c r="B87" s="27" t="s">
        <v>148</v>
      </c>
      <c r="C87" s="10" t="s">
        <v>1053</v>
      </c>
      <c r="D87" s="10" t="s">
        <v>1054</v>
      </c>
      <c r="E87" s="27" t="s">
        <v>31</v>
      </c>
      <c r="F87" s="27" t="s">
        <v>51</v>
      </c>
      <c r="G87" s="27" t="s">
        <v>215</v>
      </c>
      <c r="H87" s="40">
        <f ca="1">Tabel4[[#This Row],[KEHADIRAN]]/100</f>
        <v>0.81</v>
      </c>
    </row>
    <row r="88" spans="2:8" x14ac:dyDescent="0.25">
      <c r="B88" s="27" t="s">
        <v>150</v>
      </c>
      <c r="C88" s="10" t="s">
        <v>1055</v>
      </c>
      <c r="D88" s="10" t="s">
        <v>1056</v>
      </c>
      <c r="E88" s="27" t="s">
        <v>31</v>
      </c>
      <c r="F88" s="27" t="s">
        <v>51</v>
      </c>
      <c r="G88" s="27" t="s">
        <v>190</v>
      </c>
      <c r="H88" s="40">
        <f ca="1">Tabel4[[#This Row],[KEHADIRAN]]/100</f>
        <v>0.83</v>
      </c>
    </row>
    <row r="89" spans="2:8" x14ac:dyDescent="0.25">
      <c r="B89" s="27" t="s">
        <v>152</v>
      </c>
      <c r="C89" s="10" t="s">
        <v>1060</v>
      </c>
      <c r="D89" s="10" t="s">
        <v>1061</v>
      </c>
      <c r="E89" s="27" t="s">
        <v>31</v>
      </c>
      <c r="F89" s="27" t="s">
        <v>51</v>
      </c>
      <c r="G89" s="27" t="s">
        <v>212</v>
      </c>
      <c r="H89" s="40">
        <f ca="1">Tabel4[[#This Row],[KEHADIRAN]]/100</f>
        <v>0.98</v>
      </c>
    </row>
    <row r="90" spans="2:8" x14ac:dyDescent="0.25">
      <c r="B90" s="27" t="s">
        <v>153</v>
      </c>
      <c r="C90" s="10" t="s">
        <v>1062</v>
      </c>
      <c r="D90" s="10" t="s">
        <v>1063</v>
      </c>
      <c r="E90" s="27" t="s">
        <v>31</v>
      </c>
      <c r="F90" s="27" t="s">
        <v>51</v>
      </c>
      <c r="G90" s="27" t="s">
        <v>141</v>
      </c>
      <c r="H90" s="40">
        <f ca="1">Tabel4[[#This Row],[KEHADIRAN]]/100</f>
        <v>0.81</v>
      </c>
    </row>
    <row r="91" spans="2:8" x14ac:dyDescent="0.25">
      <c r="B91" s="27" t="s">
        <v>155</v>
      </c>
      <c r="C91" s="10" t="s">
        <v>1064</v>
      </c>
      <c r="D91" s="10" t="s">
        <v>419</v>
      </c>
      <c r="E91" s="27" t="s">
        <v>25</v>
      </c>
      <c r="F91" s="27" t="s">
        <v>51</v>
      </c>
      <c r="G91" s="27" t="s">
        <v>111</v>
      </c>
      <c r="H91" s="40">
        <f ca="1">Tabel4[[#This Row],[KEHADIRAN]]/100</f>
        <v>0.99</v>
      </c>
    </row>
    <row r="92" spans="2:8" x14ac:dyDescent="0.25">
      <c r="B92" s="27" t="s">
        <v>156</v>
      </c>
      <c r="C92" s="10" t="s">
        <v>1065</v>
      </c>
      <c r="D92" s="10" t="s">
        <v>1066</v>
      </c>
      <c r="E92" s="27" t="s">
        <v>31</v>
      </c>
      <c r="F92" s="27" t="s">
        <v>51</v>
      </c>
      <c r="G92" s="27" t="s">
        <v>248</v>
      </c>
      <c r="H92" s="40">
        <f ca="1">Tabel4[[#This Row],[KEHADIRAN]]/100</f>
        <v>0.97</v>
      </c>
    </row>
    <row r="93" spans="2:8" x14ac:dyDescent="0.25">
      <c r="B93" s="27" t="s">
        <v>157</v>
      </c>
      <c r="C93" s="10" t="s">
        <v>1067</v>
      </c>
      <c r="D93" s="10" t="s">
        <v>1068</v>
      </c>
      <c r="E93" s="27" t="s">
        <v>25</v>
      </c>
      <c r="F93" s="27" t="s">
        <v>51</v>
      </c>
      <c r="G93" s="27" t="s">
        <v>188</v>
      </c>
      <c r="H93" s="40">
        <f ca="1">Tabel4[[#This Row],[KEHADIRAN]]/100</f>
        <v>0.81</v>
      </c>
    </row>
    <row r="94" spans="2:8" x14ac:dyDescent="0.25">
      <c r="B94" s="27" t="s">
        <v>159</v>
      </c>
      <c r="C94" s="10" t="s">
        <v>1069</v>
      </c>
      <c r="D94" s="10" t="s">
        <v>1070</v>
      </c>
      <c r="E94" s="27" t="s">
        <v>31</v>
      </c>
      <c r="F94" s="27" t="s">
        <v>51</v>
      </c>
      <c r="G94" s="27" t="s">
        <v>188</v>
      </c>
      <c r="H94" s="40">
        <f ca="1">Tabel4[[#This Row],[KEHADIRAN]]/100</f>
        <v>0.81</v>
      </c>
    </row>
    <row r="95" spans="2:8" x14ac:dyDescent="0.25">
      <c r="B95" s="27" t="s">
        <v>161</v>
      </c>
      <c r="C95" s="10" t="s">
        <v>1071</v>
      </c>
      <c r="D95" s="10" t="s">
        <v>1072</v>
      </c>
      <c r="E95" s="27" t="s">
        <v>25</v>
      </c>
      <c r="F95" s="27" t="s">
        <v>51</v>
      </c>
      <c r="G95" s="27" t="s">
        <v>132</v>
      </c>
      <c r="H95" s="40">
        <f ca="1">Tabel4[[#This Row],[KEHADIRAN]]/100</f>
        <v>0.94</v>
      </c>
    </row>
    <row r="96" spans="2:8" x14ac:dyDescent="0.25">
      <c r="B96" s="27" t="s">
        <v>162</v>
      </c>
      <c r="C96" s="10" t="s">
        <v>1073</v>
      </c>
      <c r="D96" s="10" t="s">
        <v>1074</v>
      </c>
      <c r="E96" s="27" t="s">
        <v>25</v>
      </c>
      <c r="F96" s="27" t="s">
        <v>51</v>
      </c>
      <c r="G96" s="27" t="s">
        <v>113</v>
      </c>
      <c r="H96" s="40">
        <f ca="1">Tabel4[[#This Row],[KEHADIRAN]]/100</f>
        <v>0.85</v>
      </c>
    </row>
    <row r="97" spans="2:8" x14ac:dyDescent="0.25">
      <c r="B97" s="27" t="s">
        <v>163</v>
      </c>
      <c r="C97" s="10" t="s">
        <v>1075</v>
      </c>
      <c r="D97" s="10" t="s">
        <v>1076</v>
      </c>
      <c r="E97" s="27" t="s">
        <v>31</v>
      </c>
      <c r="F97" s="27" t="s">
        <v>51</v>
      </c>
      <c r="G97" s="27" t="s">
        <v>402</v>
      </c>
      <c r="H97" s="40">
        <f ca="1">Tabel4[[#This Row],[KEHADIRAN]]/100</f>
        <v>0.82</v>
      </c>
    </row>
    <row r="98" spans="2:8" x14ac:dyDescent="0.25">
      <c r="B98" s="27" t="s">
        <v>164</v>
      </c>
      <c r="C98" s="10" t="s">
        <v>1079</v>
      </c>
      <c r="D98" s="10" t="s">
        <v>1080</v>
      </c>
      <c r="E98" s="27" t="s">
        <v>31</v>
      </c>
      <c r="F98" s="27" t="s">
        <v>223</v>
      </c>
      <c r="G98" s="27" t="s">
        <v>1081</v>
      </c>
      <c r="H98" s="40">
        <f ca="1">Tabel4[[#This Row],[KEHADIRAN]]/100</f>
        <v>0.85</v>
      </c>
    </row>
    <row r="99" spans="2:8" x14ac:dyDescent="0.25">
      <c r="B99" s="27" t="s">
        <v>165</v>
      </c>
      <c r="C99" s="10" t="s">
        <v>1082</v>
      </c>
      <c r="D99" s="10" t="s">
        <v>1083</v>
      </c>
      <c r="E99" s="27" t="s">
        <v>25</v>
      </c>
      <c r="F99" s="27" t="s">
        <v>51</v>
      </c>
      <c r="G99" s="27" t="s">
        <v>122</v>
      </c>
      <c r="H99" s="40">
        <f ca="1">Tabel4[[#This Row],[KEHADIRAN]]/100</f>
        <v>0.85</v>
      </c>
    </row>
    <row r="100" spans="2:8" x14ac:dyDescent="0.25">
      <c r="B100" s="27" t="s">
        <v>34</v>
      </c>
      <c r="C100" s="10" t="s">
        <v>1084</v>
      </c>
      <c r="D100" s="10" t="s">
        <v>1085</v>
      </c>
      <c r="E100" s="27" t="s">
        <v>25</v>
      </c>
      <c r="F100" s="27" t="s">
        <v>51</v>
      </c>
      <c r="G100" s="27" t="s">
        <v>181</v>
      </c>
      <c r="H100" s="40">
        <f ca="1">Tabel4[[#This Row],[KEHADIRAN]]/100</f>
        <v>0.94</v>
      </c>
    </row>
    <row r="101" spans="2:8" x14ac:dyDescent="0.25">
      <c r="B101" s="27" t="s">
        <v>167</v>
      </c>
      <c r="C101" s="10" t="s">
        <v>1086</v>
      </c>
      <c r="D101" s="10" t="s">
        <v>221</v>
      </c>
      <c r="E101" s="27" t="s">
        <v>31</v>
      </c>
      <c r="F101" s="27" t="s">
        <v>51</v>
      </c>
      <c r="G101" s="27" t="s">
        <v>130</v>
      </c>
      <c r="H101" s="40">
        <f ca="1">Tabel4[[#This Row],[KEHADIRAN]]/100</f>
        <v>0.8</v>
      </c>
    </row>
    <row r="102" spans="2:8" x14ac:dyDescent="0.25">
      <c r="B102" s="27" t="s">
        <v>168</v>
      </c>
      <c r="C102" s="10" t="s">
        <v>1087</v>
      </c>
      <c r="D102" s="10" t="s">
        <v>1088</v>
      </c>
      <c r="E102" s="27" t="s">
        <v>319</v>
      </c>
      <c r="F102" s="27" t="s">
        <v>164</v>
      </c>
      <c r="G102" s="27" t="s">
        <v>733</v>
      </c>
      <c r="H102" s="40">
        <f ca="1">Tabel4[[#This Row],[KEHADIRAN]]/100</f>
        <v>0</v>
      </c>
    </row>
    <row r="103" spans="2:8" x14ac:dyDescent="0.25">
      <c r="B103" s="27" t="s">
        <v>22</v>
      </c>
      <c r="C103" s="10" t="s">
        <v>1089</v>
      </c>
      <c r="D103" s="10" t="s">
        <v>1090</v>
      </c>
      <c r="E103" s="27" t="s">
        <v>6</v>
      </c>
      <c r="F103" s="27" t="s">
        <v>109</v>
      </c>
      <c r="G103" s="27" t="s">
        <v>288</v>
      </c>
      <c r="H103" s="40">
        <f ca="1">Tabel4[[#This Row],[KEHADIRAN]]/100</f>
        <v>0</v>
      </c>
    </row>
    <row r="104" spans="2:8" x14ac:dyDescent="0.25">
      <c r="B104" s="27" t="s">
        <v>102</v>
      </c>
      <c r="C104" s="10" t="s">
        <v>1091</v>
      </c>
      <c r="D104" s="10" t="s">
        <v>1092</v>
      </c>
      <c r="E104" s="27" t="s">
        <v>25</v>
      </c>
      <c r="F104" s="27" t="s">
        <v>51</v>
      </c>
      <c r="G104" s="27" t="s">
        <v>169</v>
      </c>
      <c r="H104" s="40">
        <f ca="1">Tabel4[[#This Row],[KEHADIRAN]]/100</f>
        <v>0.8</v>
      </c>
    </row>
    <row r="105" spans="2:8" x14ac:dyDescent="0.25">
      <c r="B105" s="27" t="s">
        <v>170</v>
      </c>
      <c r="C105" s="10" t="s">
        <v>1093</v>
      </c>
      <c r="D105" s="10" t="s">
        <v>1094</v>
      </c>
      <c r="E105" s="27" t="s">
        <v>25</v>
      </c>
      <c r="F105" s="27" t="s">
        <v>51</v>
      </c>
      <c r="G105" s="27" t="s">
        <v>405</v>
      </c>
      <c r="H105" s="40">
        <f ca="1">Tabel4[[#This Row],[KEHADIRAN]]/100</f>
        <v>0.95</v>
      </c>
    </row>
    <row r="106" spans="2:8" x14ac:dyDescent="0.25">
      <c r="B106" s="27" t="s">
        <v>171</v>
      </c>
      <c r="C106" s="10" t="s">
        <v>1095</v>
      </c>
      <c r="D106" s="10" t="s">
        <v>1096</v>
      </c>
      <c r="E106" s="27" t="s">
        <v>25</v>
      </c>
      <c r="F106" s="27" t="s">
        <v>51</v>
      </c>
      <c r="G106" s="27" t="s">
        <v>298</v>
      </c>
      <c r="H106" s="40">
        <f ca="1">Tabel4[[#This Row],[KEHADIRAN]]/100</f>
        <v>1</v>
      </c>
    </row>
    <row r="107" spans="2:8" x14ac:dyDescent="0.25">
      <c r="B107" s="27" t="s">
        <v>173</v>
      </c>
      <c r="C107" s="10" t="s">
        <v>1097</v>
      </c>
      <c r="D107" s="10" t="s">
        <v>1098</v>
      </c>
      <c r="E107" s="27" t="s">
        <v>25</v>
      </c>
      <c r="F107" s="27" t="s">
        <v>51</v>
      </c>
      <c r="G107" s="27" t="s">
        <v>412</v>
      </c>
      <c r="H107" s="40">
        <f ca="1">Tabel4[[#This Row],[KEHADIRAN]]/100</f>
        <v>0.97</v>
      </c>
    </row>
    <row r="108" spans="2:8" x14ac:dyDescent="0.25">
      <c r="B108" s="27" t="s">
        <v>175</v>
      </c>
      <c r="C108" s="10" t="s">
        <v>1099</v>
      </c>
      <c r="D108" s="10" t="s">
        <v>1100</v>
      </c>
      <c r="E108" s="27" t="s">
        <v>25</v>
      </c>
      <c r="F108" s="27" t="s">
        <v>51</v>
      </c>
      <c r="G108" s="27" t="s">
        <v>241</v>
      </c>
      <c r="H108" s="40">
        <f ca="1">Tabel4[[#This Row],[KEHADIRAN]]/100</f>
        <v>0.88</v>
      </c>
    </row>
    <row r="109" spans="2:8" x14ac:dyDescent="0.25">
      <c r="B109" s="27" t="s">
        <v>176</v>
      </c>
      <c r="C109" s="10" t="s">
        <v>1101</v>
      </c>
      <c r="D109" s="10" t="s">
        <v>1102</v>
      </c>
      <c r="E109" s="27" t="s">
        <v>25</v>
      </c>
      <c r="F109" s="27" t="s">
        <v>51</v>
      </c>
      <c r="G109" s="27" t="s">
        <v>141</v>
      </c>
      <c r="H109" s="40">
        <f ca="1">Tabel4[[#This Row],[KEHADIRAN]]/100</f>
        <v>0.99</v>
      </c>
    </row>
    <row r="110" spans="2:8" x14ac:dyDescent="0.25">
      <c r="B110" s="27" t="s">
        <v>178</v>
      </c>
      <c r="C110" s="10" t="s">
        <v>1103</v>
      </c>
      <c r="D110" s="10" t="s">
        <v>1104</v>
      </c>
      <c r="E110" s="27" t="s">
        <v>25</v>
      </c>
      <c r="F110" s="27" t="s">
        <v>51</v>
      </c>
      <c r="G110" s="27" t="s">
        <v>160</v>
      </c>
      <c r="H110" s="40">
        <f ca="1">Tabel4[[#This Row],[KEHADIRAN]]/100</f>
        <v>0.84</v>
      </c>
    </row>
    <row r="111" spans="2:8" x14ac:dyDescent="0.25">
      <c r="B111" s="27" t="s">
        <v>179</v>
      </c>
      <c r="C111" s="10" t="s">
        <v>1105</v>
      </c>
      <c r="D111" s="10" t="s">
        <v>1106</v>
      </c>
      <c r="E111" s="27" t="s">
        <v>25</v>
      </c>
      <c r="F111" s="27" t="s">
        <v>51</v>
      </c>
      <c r="G111" s="27" t="s">
        <v>403</v>
      </c>
      <c r="H111" s="40">
        <f ca="1">Tabel4[[#This Row],[KEHADIRAN]]/100</f>
        <v>0.96</v>
      </c>
    </row>
    <row r="112" spans="2:8" x14ac:dyDescent="0.25">
      <c r="B112" s="27" t="s">
        <v>180</v>
      </c>
      <c r="C112" s="10" t="s">
        <v>1107</v>
      </c>
      <c r="D112" s="10" t="s">
        <v>1108</v>
      </c>
      <c r="E112" s="27" t="s">
        <v>25</v>
      </c>
      <c r="F112" s="27" t="s">
        <v>51</v>
      </c>
      <c r="G112" s="27" t="s">
        <v>115</v>
      </c>
      <c r="H112" s="40">
        <f ca="1">Tabel4[[#This Row],[KEHADIRAN]]/100</f>
        <v>0.8</v>
      </c>
    </row>
    <row r="113" spans="2:8" x14ac:dyDescent="0.25">
      <c r="B113" s="27" t="s">
        <v>182</v>
      </c>
      <c r="C113" s="10" t="s">
        <v>1109</v>
      </c>
      <c r="D113" s="10" t="s">
        <v>1110</v>
      </c>
      <c r="E113" s="27" t="s">
        <v>25</v>
      </c>
      <c r="F113" s="27" t="s">
        <v>51</v>
      </c>
      <c r="G113" s="27" t="s">
        <v>332</v>
      </c>
      <c r="H113" s="40">
        <f ca="1">Tabel4[[#This Row],[KEHADIRAN]]/100</f>
        <v>0.89</v>
      </c>
    </row>
    <row r="114" spans="2:8" x14ac:dyDescent="0.25">
      <c r="B114" s="27" t="s">
        <v>184</v>
      </c>
      <c r="C114" s="10" t="s">
        <v>1111</v>
      </c>
      <c r="D114" s="10" t="s">
        <v>1112</v>
      </c>
      <c r="E114" s="27" t="s">
        <v>25</v>
      </c>
      <c r="F114" s="27" t="s">
        <v>51</v>
      </c>
      <c r="G114" s="27" t="s">
        <v>280</v>
      </c>
      <c r="H114" s="40">
        <f ca="1">Tabel4[[#This Row],[KEHADIRAN]]/100</f>
        <v>0.96</v>
      </c>
    </row>
    <row r="115" spans="2:8" x14ac:dyDescent="0.25">
      <c r="B115" s="27" t="s">
        <v>186</v>
      </c>
      <c r="C115" s="10" t="s">
        <v>1113</v>
      </c>
      <c r="D115" s="10" t="s">
        <v>1114</v>
      </c>
      <c r="E115" s="27" t="s">
        <v>25</v>
      </c>
      <c r="F115" s="27" t="s">
        <v>51</v>
      </c>
      <c r="G115" s="27" t="s">
        <v>132</v>
      </c>
      <c r="H115" s="40">
        <f ca="1">Tabel4[[#This Row],[KEHADIRAN]]/100</f>
        <v>0.94</v>
      </c>
    </row>
    <row r="116" spans="2:8" x14ac:dyDescent="0.25">
      <c r="B116" s="27" t="s">
        <v>187</v>
      </c>
      <c r="C116" s="10" t="s">
        <v>1115</v>
      </c>
      <c r="D116" s="10" t="s">
        <v>1116</v>
      </c>
      <c r="E116" s="27" t="s">
        <v>31</v>
      </c>
      <c r="F116" s="27" t="s">
        <v>51</v>
      </c>
      <c r="G116" s="27" t="s">
        <v>115</v>
      </c>
      <c r="H116" s="40">
        <f ca="1">Tabel4[[#This Row],[KEHADIRAN]]/100</f>
        <v>0.88</v>
      </c>
    </row>
    <row r="117" spans="2:8" x14ac:dyDescent="0.25">
      <c r="B117" s="27" t="s">
        <v>189</v>
      </c>
      <c r="C117" s="10" t="s">
        <v>1117</v>
      </c>
      <c r="D117" s="10" t="s">
        <v>1118</v>
      </c>
      <c r="E117" s="27" t="s">
        <v>25</v>
      </c>
      <c r="F117" s="27" t="s">
        <v>51</v>
      </c>
      <c r="G117" s="27" t="s">
        <v>254</v>
      </c>
      <c r="H117" s="40">
        <f ca="1">Tabel4[[#This Row],[KEHADIRAN]]/100</f>
        <v>0.81</v>
      </c>
    </row>
    <row r="118" spans="2:8" x14ac:dyDescent="0.25">
      <c r="B118" s="27" t="s">
        <v>191</v>
      </c>
      <c r="C118" s="10" t="s">
        <v>1119</v>
      </c>
      <c r="D118" s="10" t="s">
        <v>1120</v>
      </c>
      <c r="E118" s="27" t="s">
        <v>31</v>
      </c>
      <c r="F118" s="27" t="s">
        <v>51</v>
      </c>
      <c r="G118" s="27" t="s">
        <v>146</v>
      </c>
      <c r="H118" s="40">
        <f ca="1">Tabel4[[#This Row],[KEHADIRAN]]/100</f>
        <v>0.92</v>
      </c>
    </row>
    <row r="119" spans="2:8" x14ac:dyDescent="0.25">
      <c r="B119" s="27" t="s">
        <v>192</v>
      </c>
      <c r="C119" s="10" t="s">
        <v>1121</v>
      </c>
      <c r="D119" s="10" t="s">
        <v>1122</v>
      </c>
      <c r="E119" s="27" t="s">
        <v>31</v>
      </c>
      <c r="F119" s="27" t="s">
        <v>51</v>
      </c>
      <c r="G119" s="27" t="s">
        <v>113</v>
      </c>
      <c r="H119" s="40">
        <f ca="1">Tabel4[[#This Row],[KEHADIRAN]]/100</f>
        <v>0.99</v>
      </c>
    </row>
    <row r="120" spans="2:8" x14ac:dyDescent="0.25">
      <c r="B120" s="27" t="s">
        <v>194</v>
      </c>
      <c r="C120" s="10" t="s">
        <v>1123</v>
      </c>
      <c r="D120" s="10" t="s">
        <v>1124</v>
      </c>
      <c r="E120" s="27" t="s">
        <v>25</v>
      </c>
      <c r="F120" s="27" t="s">
        <v>51</v>
      </c>
      <c r="G120" s="27" t="s">
        <v>298</v>
      </c>
      <c r="H120" s="40">
        <f ca="1">Tabel4[[#This Row],[KEHADIRAN]]/100</f>
        <v>0.82</v>
      </c>
    </row>
    <row r="121" spans="2:8" x14ac:dyDescent="0.25">
      <c r="B121" s="27" t="s">
        <v>195</v>
      </c>
      <c r="C121" s="10" t="s">
        <v>1125</v>
      </c>
      <c r="D121" s="10" t="s">
        <v>1126</v>
      </c>
      <c r="E121" s="27" t="s">
        <v>25</v>
      </c>
      <c r="F121" s="27" t="s">
        <v>51</v>
      </c>
      <c r="G121" s="27" t="s">
        <v>412</v>
      </c>
      <c r="H121" s="40">
        <f ca="1">Tabel4[[#This Row],[KEHADIRAN]]/100</f>
        <v>0.88</v>
      </c>
    </row>
    <row r="122" spans="2:8" x14ac:dyDescent="0.25">
      <c r="B122" s="27" t="s">
        <v>196</v>
      </c>
      <c r="C122" s="10" t="s">
        <v>1130</v>
      </c>
      <c r="D122" s="10" t="s">
        <v>1131</v>
      </c>
      <c r="E122" s="27" t="s">
        <v>31</v>
      </c>
      <c r="F122" s="27" t="s">
        <v>51</v>
      </c>
      <c r="G122" s="27" t="s">
        <v>1132</v>
      </c>
      <c r="H122" s="40">
        <f ca="1">Tabel4[[#This Row],[KEHADIRAN]]/100</f>
        <v>0.96</v>
      </c>
    </row>
    <row r="123" spans="2:8" x14ac:dyDescent="0.25">
      <c r="B123" s="27" t="s">
        <v>44</v>
      </c>
      <c r="C123" s="10" t="s">
        <v>1133</v>
      </c>
      <c r="D123" s="10" t="s">
        <v>1134</v>
      </c>
      <c r="E123" s="27" t="s">
        <v>31</v>
      </c>
      <c r="F123" s="27" t="s">
        <v>51</v>
      </c>
      <c r="G123" s="27" t="s">
        <v>218</v>
      </c>
      <c r="H123" s="40">
        <f ca="1">Tabel4[[#This Row],[KEHADIRAN]]/100</f>
        <v>0.9</v>
      </c>
    </row>
    <row r="124" spans="2:8" x14ac:dyDescent="0.25">
      <c r="B124" s="27" t="s">
        <v>197</v>
      </c>
      <c r="C124" s="10" t="s">
        <v>1135</v>
      </c>
      <c r="D124" s="10" t="s">
        <v>1136</v>
      </c>
      <c r="E124" s="27" t="s">
        <v>25</v>
      </c>
      <c r="F124" s="27" t="s">
        <v>51</v>
      </c>
      <c r="G124" s="27" t="s">
        <v>403</v>
      </c>
      <c r="H124" s="40">
        <f ca="1">Tabel4[[#This Row],[KEHADIRAN]]/100</f>
        <v>0.94</v>
      </c>
    </row>
    <row r="125" spans="2:8" x14ac:dyDescent="0.25">
      <c r="B125" s="27" t="s">
        <v>198</v>
      </c>
      <c r="C125" s="10" t="s">
        <v>1137</v>
      </c>
      <c r="D125" s="10" t="s">
        <v>1138</v>
      </c>
      <c r="E125" s="27" t="s">
        <v>25</v>
      </c>
      <c r="F125" s="27" t="s">
        <v>51</v>
      </c>
      <c r="G125" s="27" t="s">
        <v>111</v>
      </c>
      <c r="H125" s="40">
        <f ca="1">Tabel4[[#This Row],[KEHADIRAN]]/100</f>
        <v>0.81</v>
      </c>
    </row>
    <row r="126" spans="2:8" x14ac:dyDescent="0.25">
      <c r="B126" s="27" t="s">
        <v>200</v>
      </c>
      <c r="C126" s="10" t="s">
        <v>1139</v>
      </c>
      <c r="D126" s="10" t="s">
        <v>1140</v>
      </c>
      <c r="E126" s="27" t="s">
        <v>31</v>
      </c>
      <c r="F126" s="27" t="s">
        <v>207</v>
      </c>
      <c r="G126" s="27" t="s">
        <v>389</v>
      </c>
      <c r="H126" s="40">
        <f ca="1">Tabel4[[#This Row],[KEHADIRAN]]/100</f>
        <v>0.85</v>
      </c>
    </row>
    <row r="127" spans="2:8" x14ac:dyDescent="0.25">
      <c r="B127" s="27" t="s">
        <v>201</v>
      </c>
      <c r="C127" s="10" t="s">
        <v>1141</v>
      </c>
      <c r="D127" s="10" t="s">
        <v>1142</v>
      </c>
      <c r="E127" s="27" t="s">
        <v>25</v>
      </c>
      <c r="F127" s="27" t="s">
        <v>51</v>
      </c>
      <c r="G127" s="27" t="s">
        <v>332</v>
      </c>
      <c r="H127" s="40">
        <f ca="1">Tabel4[[#This Row],[KEHADIRAN]]/100</f>
        <v>0.92</v>
      </c>
    </row>
    <row r="128" spans="2:8" x14ac:dyDescent="0.25">
      <c r="B128" s="27" t="s">
        <v>9</v>
      </c>
      <c r="C128" s="10" t="s">
        <v>1145</v>
      </c>
      <c r="D128" s="10" t="s">
        <v>1146</v>
      </c>
      <c r="E128" s="27" t="s">
        <v>31</v>
      </c>
      <c r="F128" s="27" t="s">
        <v>51</v>
      </c>
      <c r="G128" s="27" t="s">
        <v>332</v>
      </c>
      <c r="H128" s="40">
        <f ca="1">Tabel4[[#This Row],[KEHADIRAN]]/100</f>
        <v>0.97</v>
      </c>
    </row>
    <row r="129" spans="2:8" x14ac:dyDescent="0.25">
      <c r="B129" s="27" t="s">
        <v>202</v>
      </c>
      <c r="C129" s="10" t="s">
        <v>1147</v>
      </c>
      <c r="D129" s="10" t="s">
        <v>1148</v>
      </c>
      <c r="E129" s="27" t="s">
        <v>31</v>
      </c>
      <c r="F129" s="27" t="s">
        <v>51</v>
      </c>
      <c r="G129" s="27" t="s">
        <v>199</v>
      </c>
      <c r="H129" s="40">
        <f ca="1">Tabel4[[#This Row],[KEHADIRAN]]/100</f>
        <v>0.97</v>
      </c>
    </row>
    <row r="130" spans="2:8" x14ac:dyDescent="0.25">
      <c r="B130" s="27" t="s">
        <v>204</v>
      </c>
      <c r="C130" s="10" t="s">
        <v>1151</v>
      </c>
      <c r="D130" s="10" t="s">
        <v>1152</v>
      </c>
      <c r="E130" s="27" t="s">
        <v>25</v>
      </c>
      <c r="F130" s="27" t="s">
        <v>51</v>
      </c>
      <c r="G130" s="27" t="s">
        <v>248</v>
      </c>
      <c r="H130" s="40">
        <f ca="1">Tabel4[[#This Row],[KEHADIRAN]]/100</f>
        <v>0.96</v>
      </c>
    </row>
    <row r="131" spans="2:8" x14ac:dyDescent="0.25">
      <c r="B131" s="27" t="s">
        <v>205</v>
      </c>
      <c r="C131" s="10" t="s">
        <v>1153</v>
      </c>
      <c r="D131" s="10" t="s">
        <v>1154</v>
      </c>
      <c r="E131" s="27" t="s">
        <v>25</v>
      </c>
      <c r="F131" s="27" t="s">
        <v>51</v>
      </c>
      <c r="G131" s="27" t="s">
        <v>293</v>
      </c>
      <c r="H131" s="40">
        <f ca="1">Tabel4[[#This Row],[KEHADIRAN]]/100</f>
        <v>0.85</v>
      </c>
    </row>
    <row r="132" spans="2:8" x14ac:dyDescent="0.25">
      <c r="B132" s="27" t="s">
        <v>206</v>
      </c>
      <c r="C132" s="10" t="s">
        <v>1155</v>
      </c>
      <c r="D132" s="10" t="s">
        <v>1156</v>
      </c>
      <c r="E132" s="27" t="s">
        <v>25</v>
      </c>
      <c r="F132" s="27" t="s">
        <v>51</v>
      </c>
      <c r="G132" s="27" t="s">
        <v>404</v>
      </c>
      <c r="H132" s="40">
        <f ca="1">Tabel4[[#This Row],[KEHADIRAN]]/100</f>
        <v>1</v>
      </c>
    </row>
    <row r="133" spans="2:8" x14ac:dyDescent="0.25">
      <c r="B133" s="27" t="s">
        <v>15</v>
      </c>
      <c r="C133" s="10" t="s">
        <v>1157</v>
      </c>
      <c r="D133" s="10" t="s">
        <v>1158</v>
      </c>
      <c r="E133" s="27" t="s">
        <v>25</v>
      </c>
      <c r="F133" s="27" t="s">
        <v>51</v>
      </c>
      <c r="G133" s="27" t="s">
        <v>199</v>
      </c>
      <c r="H133" s="40">
        <f ca="1">Tabel4[[#This Row],[KEHADIRAN]]/100</f>
        <v>1</v>
      </c>
    </row>
    <row r="134" spans="2:8" x14ac:dyDescent="0.25">
      <c r="B134" s="27" t="s">
        <v>207</v>
      </c>
      <c r="C134" s="10" t="s">
        <v>1159</v>
      </c>
      <c r="D134" s="10" t="s">
        <v>1160</v>
      </c>
      <c r="E134" s="27" t="s">
        <v>25</v>
      </c>
      <c r="F134" s="27" t="s">
        <v>51</v>
      </c>
      <c r="G134" s="27" t="s">
        <v>416</v>
      </c>
      <c r="H134" s="40">
        <f ca="1">Tabel4[[#This Row],[KEHADIRAN]]/100</f>
        <v>0.82</v>
      </c>
    </row>
    <row r="135" spans="2:8" x14ac:dyDescent="0.25">
      <c r="B135" s="27" t="s">
        <v>208</v>
      </c>
      <c r="C135" s="10" t="s">
        <v>1161</v>
      </c>
      <c r="D135" s="10" t="s">
        <v>1162</v>
      </c>
      <c r="E135" s="27" t="s">
        <v>25</v>
      </c>
      <c r="F135" s="27" t="s">
        <v>51</v>
      </c>
      <c r="G135" s="27" t="s">
        <v>143</v>
      </c>
      <c r="H135" s="40">
        <f ca="1">Tabel4[[#This Row],[KEHADIRAN]]/100</f>
        <v>0.87</v>
      </c>
    </row>
    <row r="136" spans="2:8" x14ac:dyDescent="0.25">
      <c r="B136" s="27" t="s">
        <v>209</v>
      </c>
      <c r="C136" s="10" t="s">
        <v>1163</v>
      </c>
      <c r="D136" s="10" t="s">
        <v>1164</v>
      </c>
      <c r="E136" s="27" t="s">
        <v>31</v>
      </c>
      <c r="F136" s="27" t="s">
        <v>51</v>
      </c>
      <c r="G136" s="27" t="s">
        <v>271</v>
      </c>
      <c r="H136" s="40">
        <f ca="1">Tabel4[[#This Row],[KEHADIRAN]]/100</f>
        <v>0.86</v>
      </c>
    </row>
    <row r="137" spans="2:8" x14ac:dyDescent="0.25">
      <c r="B137" s="27" t="s">
        <v>28</v>
      </c>
      <c r="C137" s="10" t="s">
        <v>1165</v>
      </c>
      <c r="D137" s="10" t="s">
        <v>1166</v>
      </c>
      <c r="E137" s="27" t="s">
        <v>31</v>
      </c>
      <c r="F137" s="27" t="s">
        <v>51</v>
      </c>
      <c r="G137" s="27" t="s">
        <v>132</v>
      </c>
      <c r="H137" s="40">
        <f ca="1">Tabel4[[#This Row],[KEHADIRAN]]/100</f>
        <v>0.88</v>
      </c>
    </row>
    <row r="138" spans="2:8" x14ac:dyDescent="0.25">
      <c r="B138" s="27" t="s">
        <v>210</v>
      </c>
      <c r="C138" s="10" t="s">
        <v>1167</v>
      </c>
      <c r="D138" s="10" t="s">
        <v>1168</v>
      </c>
      <c r="E138" s="27" t="s">
        <v>31</v>
      </c>
      <c r="F138" s="27" t="s">
        <v>60</v>
      </c>
      <c r="G138" s="27" t="s">
        <v>415</v>
      </c>
      <c r="H138" s="40">
        <f ca="1">Tabel4[[#This Row],[KEHADIRAN]]/100</f>
        <v>0.97</v>
      </c>
    </row>
    <row r="139" spans="2:8" x14ac:dyDescent="0.25">
      <c r="B139" s="27" t="s">
        <v>211</v>
      </c>
      <c r="C139" s="10" t="s">
        <v>1169</v>
      </c>
      <c r="D139" s="10" t="s">
        <v>1170</v>
      </c>
      <c r="E139" s="27" t="s">
        <v>31</v>
      </c>
      <c r="F139" s="27" t="s">
        <v>51</v>
      </c>
      <c r="G139" s="27" t="s">
        <v>97</v>
      </c>
      <c r="H139" s="40">
        <f ca="1">Tabel4[[#This Row],[KEHADIRAN]]/100</f>
        <v>0.92</v>
      </c>
    </row>
    <row r="140" spans="2:8" x14ac:dyDescent="0.25">
      <c r="B140" s="27" t="s">
        <v>60</v>
      </c>
      <c r="C140" s="10" t="s">
        <v>1171</v>
      </c>
      <c r="D140" s="10" t="s">
        <v>1172</v>
      </c>
      <c r="E140" s="27" t="s">
        <v>31</v>
      </c>
      <c r="F140" s="27" t="s">
        <v>51</v>
      </c>
      <c r="G140" s="27" t="s">
        <v>137</v>
      </c>
      <c r="H140" s="40">
        <f ca="1">Tabel4[[#This Row],[KEHADIRAN]]/100</f>
        <v>0.93</v>
      </c>
    </row>
    <row r="141" spans="2:8" x14ac:dyDescent="0.25">
      <c r="B141" s="27" t="s">
        <v>13</v>
      </c>
      <c r="C141" s="10" t="s">
        <v>1173</v>
      </c>
      <c r="D141" s="10" t="s">
        <v>1174</v>
      </c>
      <c r="E141" s="27" t="s">
        <v>31</v>
      </c>
      <c r="F141" s="27" t="s">
        <v>123</v>
      </c>
      <c r="G141" s="27" t="s">
        <v>1175</v>
      </c>
      <c r="H141" s="40">
        <f ca="1">Tabel4[[#This Row],[KEHADIRAN]]/100</f>
        <v>0.81</v>
      </c>
    </row>
    <row r="142" spans="2:8" x14ac:dyDescent="0.25">
      <c r="B142" s="27" t="s">
        <v>214</v>
      </c>
      <c r="C142" s="10" t="s">
        <v>1176</v>
      </c>
      <c r="D142" s="10" t="s">
        <v>1177</v>
      </c>
      <c r="E142" s="27" t="s">
        <v>31</v>
      </c>
      <c r="F142" s="27" t="s">
        <v>100</v>
      </c>
      <c r="G142" s="27" t="s">
        <v>1178</v>
      </c>
      <c r="H142" s="40">
        <f ca="1">Tabel4[[#This Row],[KEHADIRAN]]/100</f>
        <v>0.88</v>
      </c>
    </row>
    <row r="143" spans="2:8" x14ac:dyDescent="0.25">
      <c r="B143" s="27" t="s">
        <v>20</v>
      </c>
      <c r="C143" s="10" t="s">
        <v>1179</v>
      </c>
      <c r="D143" s="10" t="s">
        <v>1180</v>
      </c>
      <c r="E143" s="27" t="s">
        <v>25</v>
      </c>
      <c r="F143" s="27" t="s">
        <v>51</v>
      </c>
      <c r="G143" s="27" t="s">
        <v>328</v>
      </c>
      <c r="H143" s="40">
        <f ca="1">Tabel4[[#This Row],[KEHADIRAN]]/100</f>
        <v>0.87</v>
      </c>
    </row>
    <row r="144" spans="2:8" ht="15" x14ac:dyDescent="0.25">
      <c r="B144" s="28"/>
      <c r="C144"/>
      <c r="D144"/>
      <c r="E144" s="28"/>
      <c r="F144" s="28"/>
      <c r="G144" s="28"/>
    </row>
    <row r="145" spans="2:7" ht="15" x14ac:dyDescent="0.25">
      <c r="B145" s="28"/>
      <c r="C145"/>
      <c r="D145"/>
      <c r="E145" s="28"/>
      <c r="F145" s="28"/>
      <c r="G145" s="28"/>
    </row>
    <row r="146" spans="2:7" ht="15" x14ac:dyDescent="0.25">
      <c r="B146" s="28"/>
      <c r="C146"/>
      <c r="D146"/>
      <c r="E146" s="28"/>
      <c r="F146" s="28"/>
      <c r="G146" s="28"/>
    </row>
    <row r="147" spans="2:7" ht="15" x14ac:dyDescent="0.25">
      <c r="B147" s="28"/>
      <c r="C147"/>
      <c r="D147"/>
      <c r="E147" s="28"/>
      <c r="F147" s="28"/>
      <c r="G147" s="28"/>
    </row>
    <row r="148" spans="2:7" ht="15" x14ac:dyDescent="0.25">
      <c r="B148" s="28"/>
      <c r="C148"/>
      <c r="D148"/>
      <c r="E148" s="28"/>
      <c r="F148" s="28"/>
      <c r="G148" s="28"/>
    </row>
    <row r="149" spans="2:7" ht="15" x14ac:dyDescent="0.25">
      <c r="B149" s="28"/>
      <c r="C149"/>
      <c r="D149"/>
      <c r="E149" s="28"/>
      <c r="F149" s="28"/>
      <c r="G149" s="28"/>
    </row>
    <row r="150" spans="2:7" ht="15" x14ac:dyDescent="0.25">
      <c r="B150" s="28"/>
      <c r="C150"/>
      <c r="D150"/>
      <c r="E150" s="28"/>
      <c r="F150" s="28"/>
      <c r="G150" s="28"/>
    </row>
    <row r="151" spans="2:7" ht="15" x14ac:dyDescent="0.25">
      <c r="B151" s="28"/>
      <c r="C151"/>
      <c r="D151"/>
      <c r="E151" s="28"/>
      <c r="F151" s="28"/>
      <c r="G151" s="28"/>
    </row>
    <row r="152" spans="2:7" ht="15" x14ac:dyDescent="0.25">
      <c r="B152" s="28"/>
      <c r="C152"/>
      <c r="D152"/>
      <c r="E152" s="28"/>
      <c r="F152" s="28"/>
      <c r="G152" s="28"/>
    </row>
    <row r="153" spans="2:7" ht="15" x14ac:dyDescent="0.25">
      <c r="B153" s="28"/>
      <c r="C153"/>
      <c r="D153"/>
      <c r="E153" s="28"/>
      <c r="F153" s="28"/>
      <c r="G153" s="28"/>
    </row>
    <row r="154" spans="2:7" ht="15" x14ac:dyDescent="0.25">
      <c r="B154" s="28"/>
      <c r="C154"/>
      <c r="D154"/>
      <c r="E154" s="28"/>
      <c r="F154" s="28"/>
      <c r="G154" s="28"/>
    </row>
    <row r="155" spans="2:7" ht="15" x14ac:dyDescent="0.25">
      <c r="B155" s="28"/>
      <c r="C155"/>
      <c r="D155"/>
      <c r="E155" s="28"/>
      <c r="F155" s="28"/>
      <c r="G155" s="28"/>
    </row>
    <row r="156" spans="2:7" ht="15" x14ac:dyDescent="0.25">
      <c r="B156" s="28"/>
      <c r="C156"/>
      <c r="D156"/>
      <c r="E156" s="28"/>
      <c r="F156" s="28"/>
      <c r="G156" s="28"/>
    </row>
    <row r="157" spans="2:7" ht="15" x14ac:dyDescent="0.25">
      <c r="B157" s="28"/>
      <c r="C157"/>
      <c r="D157"/>
      <c r="E157" s="28"/>
      <c r="F157" s="28"/>
      <c r="G157" s="28"/>
    </row>
    <row r="158" spans="2:7" ht="15" x14ac:dyDescent="0.25">
      <c r="B158" s="28"/>
      <c r="C158"/>
      <c r="D158"/>
      <c r="E158" s="28"/>
      <c r="F158" s="28"/>
      <c r="G158" s="28"/>
    </row>
    <row r="159" spans="2:7" ht="15" x14ac:dyDescent="0.25">
      <c r="B159" s="28"/>
      <c r="C159"/>
      <c r="D159"/>
      <c r="E159" s="28"/>
      <c r="F159" s="28"/>
      <c r="G159" s="28"/>
    </row>
    <row r="160" spans="2:7" ht="15" x14ac:dyDescent="0.25">
      <c r="B160" s="28"/>
      <c r="C160"/>
      <c r="D160"/>
      <c r="E160" s="28"/>
      <c r="F160" s="28"/>
      <c r="G160" s="28"/>
    </row>
    <row r="161" spans="2:7" ht="15" x14ac:dyDescent="0.25">
      <c r="B161" s="28"/>
      <c r="C161"/>
      <c r="D161"/>
      <c r="E161" s="28"/>
      <c r="F161" s="28"/>
      <c r="G161" s="28"/>
    </row>
    <row r="162" spans="2:7" ht="15" x14ac:dyDescent="0.25">
      <c r="B162" s="28"/>
      <c r="C162"/>
      <c r="D162"/>
      <c r="E162" s="28"/>
      <c r="F162" s="28"/>
      <c r="G162" s="28"/>
    </row>
    <row r="163" spans="2:7" ht="15" x14ac:dyDescent="0.25">
      <c r="B163" s="28"/>
      <c r="C163"/>
      <c r="D163"/>
      <c r="E163" s="28"/>
      <c r="F163" s="28"/>
      <c r="G163" s="28"/>
    </row>
    <row r="164" spans="2:7" ht="15" x14ac:dyDescent="0.25">
      <c r="B164" s="28"/>
      <c r="C164"/>
      <c r="D164"/>
      <c r="E164" s="28"/>
      <c r="F164" s="28"/>
      <c r="G164" s="28"/>
    </row>
    <row r="165" spans="2:7" ht="15" x14ac:dyDescent="0.25">
      <c r="B165" s="28"/>
      <c r="C165"/>
      <c r="D165"/>
      <c r="E165" s="28"/>
      <c r="F165" s="28"/>
      <c r="G165" s="28"/>
    </row>
    <row r="166" spans="2:7" ht="15" x14ac:dyDescent="0.25">
      <c r="B166" s="28"/>
      <c r="C166"/>
      <c r="D166"/>
      <c r="E166" s="28"/>
      <c r="F166" s="28"/>
      <c r="G166" s="28"/>
    </row>
    <row r="167" spans="2:7" ht="15" x14ac:dyDescent="0.25">
      <c r="B167" s="28"/>
      <c r="C167"/>
      <c r="D167"/>
      <c r="E167" s="28"/>
      <c r="F167" s="28"/>
      <c r="G167" s="28"/>
    </row>
    <row r="168" spans="2:7" ht="15" x14ac:dyDescent="0.25">
      <c r="B168" s="28"/>
      <c r="C168"/>
      <c r="D168"/>
      <c r="E168" s="28"/>
      <c r="F168" s="28"/>
      <c r="G168" s="28"/>
    </row>
    <row r="169" spans="2:7" ht="15" x14ac:dyDescent="0.25">
      <c r="B169" s="28"/>
      <c r="C169"/>
      <c r="D169"/>
      <c r="E169" s="28"/>
      <c r="F169" s="28"/>
      <c r="G169" s="28"/>
    </row>
    <row r="170" spans="2:7" ht="15" x14ac:dyDescent="0.25">
      <c r="B170" s="28"/>
      <c r="C170"/>
      <c r="D170"/>
      <c r="E170" s="28"/>
      <c r="F170" s="28"/>
      <c r="G170" s="28"/>
    </row>
    <row r="171" spans="2:7" ht="15" x14ac:dyDescent="0.25">
      <c r="B171" s="28"/>
      <c r="C171"/>
      <c r="D171"/>
      <c r="E171" s="28"/>
      <c r="F171" s="28"/>
      <c r="G171" s="28"/>
    </row>
    <row r="172" spans="2:7" ht="15" x14ac:dyDescent="0.25">
      <c r="B172" s="28"/>
      <c r="C172"/>
      <c r="D172"/>
      <c r="E172" s="28"/>
      <c r="F172" s="28"/>
      <c r="G172" s="28"/>
    </row>
    <row r="173" spans="2:7" ht="15" x14ac:dyDescent="0.25">
      <c r="B173" s="28"/>
      <c r="C173"/>
      <c r="D173"/>
      <c r="E173" s="28"/>
      <c r="F173" s="28"/>
      <c r="G173" s="28"/>
    </row>
    <row r="174" spans="2:7" ht="15" x14ac:dyDescent="0.25">
      <c r="B174" s="28"/>
      <c r="C174"/>
      <c r="D174"/>
      <c r="E174" s="28"/>
      <c r="F174" s="28"/>
      <c r="G174" s="28"/>
    </row>
    <row r="175" spans="2:7" ht="15" x14ac:dyDescent="0.25">
      <c r="B175" s="28"/>
      <c r="C175"/>
      <c r="D175"/>
      <c r="E175" s="28"/>
      <c r="F175" s="28"/>
      <c r="G175" s="28"/>
    </row>
    <row r="176" spans="2:7" ht="15" x14ac:dyDescent="0.25">
      <c r="B176" s="28"/>
      <c r="C176"/>
      <c r="D176"/>
      <c r="E176" s="28"/>
      <c r="F176" s="28"/>
      <c r="G176" s="28"/>
    </row>
    <row r="177" spans="2:7" ht="15" x14ac:dyDescent="0.25">
      <c r="B177" s="28"/>
      <c r="C177"/>
      <c r="D177"/>
      <c r="E177" s="28"/>
      <c r="F177" s="28"/>
      <c r="G177" s="28"/>
    </row>
    <row r="178" spans="2:7" ht="15" x14ac:dyDescent="0.25">
      <c r="B178" s="28"/>
      <c r="C178"/>
      <c r="D178"/>
      <c r="E178" s="28"/>
      <c r="F178" s="28"/>
      <c r="G178" s="28"/>
    </row>
    <row r="179" spans="2:7" ht="15" x14ac:dyDescent="0.25">
      <c r="B179" s="28"/>
      <c r="C179"/>
      <c r="D179"/>
      <c r="E179" s="28"/>
      <c r="F179" s="28"/>
      <c r="G179" s="28"/>
    </row>
    <row r="180" spans="2:7" ht="15" x14ac:dyDescent="0.25">
      <c r="B180" s="28"/>
      <c r="C180"/>
      <c r="D180"/>
      <c r="E180" s="28"/>
      <c r="F180" s="28"/>
      <c r="G180" s="28"/>
    </row>
    <row r="181" spans="2:7" ht="15" x14ac:dyDescent="0.25">
      <c r="B181" s="28"/>
      <c r="C181"/>
      <c r="D181"/>
      <c r="E181" s="28"/>
      <c r="F181" s="28"/>
      <c r="G181" s="28"/>
    </row>
    <row r="182" spans="2:7" ht="15" x14ac:dyDescent="0.25">
      <c r="B182" s="28"/>
      <c r="C182"/>
      <c r="D182"/>
      <c r="E182" s="28"/>
      <c r="F182" s="28"/>
      <c r="G182" s="28"/>
    </row>
    <row r="183" spans="2:7" ht="15" x14ac:dyDescent="0.25">
      <c r="B183" s="28"/>
      <c r="C183"/>
      <c r="D183"/>
      <c r="E183" s="28"/>
      <c r="F183" s="28"/>
      <c r="G183" s="28"/>
    </row>
    <row r="184" spans="2:7" ht="15" x14ac:dyDescent="0.25">
      <c r="B184" s="28"/>
      <c r="C184"/>
      <c r="D184"/>
      <c r="E184" s="28"/>
      <c r="F184" s="28"/>
      <c r="G184" s="28"/>
    </row>
    <row r="185" spans="2:7" ht="15" x14ac:dyDescent="0.25">
      <c r="B185" s="28"/>
      <c r="C185"/>
      <c r="D185"/>
      <c r="E185" s="28"/>
      <c r="F185" s="28"/>
      <c r="G185" s="28"/>
    </row>
    <row r="186" spans="2:7" ht="15" x14ac:dyDescent="0.25">
      <c r="B186" s="28"/>
      <c r="C186"/>
      <c r="D186"/>
      <c r="E186" s="28"/>
      <c r="F186" s="28"/>
      <c r="G186" s="28"/>
    </row>
    <row r="187" spans="2:7" ht="15" x14ac:dyDescent="0.25">
      <c r="B187" s="28"/>
      <c r="C187"/>
      <c r="D187"/>
      <c r="E187" s="28"/>
      <c r="F187" s="28"/>
      <c r="G187" s="28"/>
    </row>
    <row r="188" spans="2:7" ht="15" x14ac:dyDescent="0.25">
      <c r="B188" s="28"/>
      <c r="C188"/>
      <c r="D188"/>
      <c r="E188" s="28"/>
      <c r="F188" s="28"/>
      <c r="G188" s="28"/>
    </row>
    <row r="189" spans="2:7" ht="15" x14ac:dyDescent="0.25">
      <c r="B189" s="28"/>
      <c r="C189"/>
      <c r="D189"/>
      <c r="E189" s="28"/>
      <c r="F189" s="28"/>
      <c r="G189" s="28"/>
    </row>
    <row r="190" spans="2:7" ht="15" x14ac:dyDescent="0.25">
      <c r="B190" s="28"/>
      <c r="C190"/>
      <c r="D190"/>
      <c r="E190" s="28"/>
      <c r="F190" s="28"/>
      <c r="G190" s="28"/>
    </row>
    <row r="191" spans="2:7" ht="15" x14ac:dyDescent="0.25">
      <c r="B191" s="28"/>
      <c r="C191"/>
      <c r="D191"/>
      <c r="E191" s="28"/>
      <c r="F191" s="28"/>
      <c r="G191" s="28"/>
    </row>
    <row r="192" spans="2:7" ht="15" x14ac:dyDescent="0.25">
      <c r="B192" s="28"/>
      <c r="C192"/>
      <c r="D192"/>
      <c r="E192" s="28"/>
      <c r="F192" s="28"/>
      <c r="G192" s="28"/>
    </row>
    <row r="193" spans="2:7" ht="15" x14ac:dyDescent="0.25">
      <c r="B193" s="28"/>
      <c r="C193"/>
      <c r="D193"/>
      <c r="E193" s="28"/>
      <c r="F193" s="28"/>
      <c r="G193" s="28"/>
    </row>
    <row r="194" spans="2:7" ht="15" x14ac:dyDescent="0.25">
      <c r="B194" s="28"/>
      <c r="C194"/>
      <c r="D194"/>
      <c r="E194" s="28"/>
      <c r="F194" s="28"/>
      <c r="G194" s="28"/>
    </row>
    <row r="195" spans="2:7" ht="15" x14ac:dyDescent="0.25">
      <c r="B195" s="28"/>
      <c r="C195"/>
      <c r="D195"/>
      <c r="E195" s="28"/>
      <c r="F195" s="28"/>
      <c r="G195" s="28"/>
    </row>
    <row r="196" spans="2:7" ht="15" x14ac:dyDescent="0.25">
      <c r="B196" s="28"/>
      <c r="C196"/>
      <c r="D196"/>
      <c r="E196" s="28"/>
      <c r="F196" s="28"/>
      <c r="G196" s="28"/>
    </row>
    <row r="197" spans="2:7" ht="15" x14ac:dyDescent="0.25">
      <c r="B197" s="28"/>
      <c r="C197"/>
      <c r="D197"/>
      <c r="E197" s="28"/>
      <c r="F197" s="28"/>
      <c r="G197" s="28"/>
    </row>
    <row r="198" spans="2:7" ht="15" x14ac:dyDescent="0.25">
      <c r="B198" s="28"/>
      <c r="C198"/>
      <c r="D198"/>
      <c r="E198" s="28"/>
      <c r="F198" s="28"/>
      <c r="G198" s="28"/>
    </row>
    <row r="199" spans="2:7" ht="15" x14ac:dyDescent="0.25">
      <c r="B199" s="28"/>
      <c r="C199"/>
      <c r="D199"/>
      <c r="E199" s="28"/>
      <c r="F199" s="28"/>
      <c r="G199" s="28"/>
    </row>
    <row r="200" spans="2:7" ht="15" x14ac:dyDescent="0.25">
      <c r="B200" s="28"/>
      <c r="C200"/>
      <c r="D200"/>
      <c r="E200" s="28"/>
      <c r="F200" s="28"/>
      <c r="G200" s="28"/>
    </row>
    <row r="201" spans="2:7" ht="15" x14ac:dyDescent="0.25">
      <c r="B201" s="28"/>
      <c r="C201"/>
      <c r="D201"/>
      <c r="E201" s="28"/>
      <c r="F201" s="28"/>
      <c r="G201" s="28"/>
    </row>
    <row r="202" spans="2:7" ht="15" x14ac:dyDescent="0.25">
      <c r="B202" s="28"/>
      <c r="C202"/>
      <c r="D202"/>
      <c r="E202" s="28"/>
      <c r="F202" s="28"/>
      <c r="G202" s="28"/>
    </row>
    <row r="203" spans="2:7" ht="15" x14ac:dyDescent="0.25">
      <c r="B203" s="28"/>
      <c r="C203"/>
      <c r="D203"/>
      <c r="E203" s="28"/>
      <c r="F203" s="28"/>
      <c r="G203" s="28"/>
    </row>
    <row r="204" spans="2:7" ht="15" x14ac:dyDescent="0.25">
      <c r="B204" s="28"/>
      <c r="C204"/>
      <c r="D204"/>
      <c r="E204" s="28"/>
      <c r="F204" s="28"/>
      <c r="G204" s="28"/>
    </row>
    <row r="205" spans="2:7" ht="15" x14ac:dyDescent="0.25">
      <c r="B205" s="28"/>
      <c r="C205"/>
      <c r="D205"/>
      <c r="E205" s="28"/>
      <c r="F205" s="28"/>
      <c r="G205" s="28"/>
    </row>
    <row r="206" spans="2:7" ht="15" x14ac:dyDescent="0.25">
      <c r="B206" s="28"/>
      <c r="C206"/>
      <c r="D206"/>
      <c r="E206" s="28"/>
      <c r="F206" s="28"/>
      <c r="G206" s="28"/>
    </row>
    <row r="207" spans="2:7" ht="15" x14ac:dyDescent="0.25">
      <c r="B207" s="28"/>
      <c r="C207"/>
      <c r="D207"/>
      <c r="E207" s="28"/>
      <c r="F207" s="28"/>
      <c r="G207" s="28"/>
    </row>
    <row r="208" spans="2:7" ht="15" x14ac:dyDescent="0.25">
      <c r="B208" s="28"/>
      <c r="C208"/>
      <c r="D208"/>
      <c r="E208" s="28"/>
      <c r="F208" s="28"/>
      <c r="G208" s="28"/>
    </row>
    <row r="209" spans="2:7" ht="15" x14ac:dyDescent="0.25">
      <c r="B209" s="28"/>
      <c r="C209"/>
      <c r="D209"/>
      <c r="E209" s="28"/>
      <c r="F209" s="28"/>
      <c r="G209" s="28"/>
    </row>
    <row r="210" spans="2:7" ht="15" x14ac:dyDescent="0.25">
      <c r="B210" s="28"/>
      <c r="C210"/>
      <c r="D210"/>
      <c r="E210" s="28"/>
      <c r="F210" s="28"/>
      <c r="G210" s="28"/>
    </row>
    <row r="211" spans="2:7" ht="15" x14ac:dyDescent="0.25">
      <c r="B211" s="28"/>
      <c r="C211"/>
      <c r="D211"/>
      <c r="E211" s="28"/>
      <c r="F211" s="28"/>
      <c r="G211" s="28"/>
    </row>
    <row r="212" spans="2:7" ht="15" x14ac:dyDescent="0.25">
      <c r="B212" s="28"/>
      <c r="C212"/>
      <c r="D212"/>
      <c r="E212" s="28"/>
      <c r="F212" s="28"/>
      <c r="G212" s="28"/>
    </row>
    <row r="213" spans="2:7" ht="15" x14ac:dyDescent="0.25">
      <c r="B213" s="28"/>
      <c r="C213"/>
      <c r="D213"/>
      <c r="E213" s="28"/>
      <c r="F213" s="28"/>
      <c r="G213" s="28"/>
    </row>
    <row r="214" spans="2:7" ht="15" x14ac:dyDescent="0.25">
      <c r="B214" s="28"/>
      <c r="C214"/>
      <c r="D214"/>
      <c r="E214" s="28"/>
      <c r="F214" s="28"/>
      <c r="G214" s="28"/>
    </row>
    <row r="215" spans="2:7" ht="15" x14ac:dyDescent="0.25">
      <c r="B215" s="28"/>
      <c r="C215"/>
      <c r="D215"/>
      <c r="E215" s="28"/>
      <c r="F215" s="28"/>
      <c r="G215" s="28"/>
    </row>
    <row r="216" spans="2:7" ht="15" x14ac:dyDescent="0.25">
      <c r="B216" s="28"/>
      <c r="C216"/>
      <c r="D216"/>
      <c r="E216" s="28"/>
      <c r="F216" s="28"/>
      <c r="G216" s="28"/>
    </row>
    <row r="217" spans="2:7" ht="15" x14ac:dyDescent="0.25">
      <c r="B217" s="28"/>
      <c r="C217"/>
      <c r="D217"/>
      <c r="E217" s="28"/>
      <c r="F217" s="28"/>
      <c r="G217" s="28"/>
    </row>
    <row r="218" spans="2:7" ht="15" x14ac:dyDescent="0.25">
      <c r="B218" s="28"/>
      <c r="C218"/>
      <c r="D218"/>
      <c r="E218" s="28"/>
      <c r="F218" s="28"/>
      <c r="G218" s="28"/>
    </row>
    <row r="219" spans="2:7" ht="15" x14ac:dyDescent="0.25">
      <c r="B219" s="28"/>
      <c r="C219"/>
      <c r="D219"/>
      <c r="E219" s="28"/>
      <c r="F219" s="28"/>
      <c r="G219" s="28"/>
    </row>
    <row r="220" spans="2:7" ht="15" x14ac:dyDescent="0.25">
      <c r="B220" s="28"/>
      <c r="C220"/>
      <c r="D220"/>
      <c r="E220" s="28"/>
      <c r="F220" s="28"/>
      <c r="G220" s="28"/>
    </row>
    <row r="221" spans="2:7" ht="15" x14ac:dyDescent="0.25">
      <c r="B221" s="28"/>
      <c r="C221"/>
      <c r="D221"/>
      <c r="E221" s="28"/>
      <c r="F221" s="28"/>
      <c r="G221" s="28"/>
    </row>
    <row r="222" spans="2:7" ht="15" x14ac:dyDescent="0.25">
      <c r="B222" s="28"/>
      <c r="C222"/>
      <c r="D222"/>
      <c r="E222" s="28"/>
      <c r="F222" s="28"/>
      <c r="G222" s="28"/>
    </row>
    <row r="223" spans="2:7" ht="15" x14ac:dyDescent="0.25">
      <c r="B223" s="28"/>
      <c r="C223"/>
      <c r="D223"/>
      <c r="E223" s="28"/>
      <c r="F223" s="28"/>
      <c r="G223" s="28"/>
    </row>
    <row r="224" spans="2:7" ht="15" x14ac:dyDescent="0.25">
      <c r="B224" s="28"/>
      <c r="C224"/>
      <c r="D224"/>
      <c r="E224" s="28"/>
      <c r="F224" s="28"/>
      <c r="G224" s="28"/>
    </row>
    <row r="225" spans="2:7" ht="15" x14ac:dyDescent="0.25">
      <c r="B225" s="28"/>
      <c r="C225"/>
      <c r="D225"/>
      <c r="E225" s="28"/>
      <c r="F225" s="28"/>
      <c r="G225" s="28"/>
    </row>
    <row r="226" spans="2:7" ht="15" x14ac:dyDescent="0.25">
      <c r="B226" s="28"/>
      <c r="C226"/>
      <c r="D226"/>
      <c r="E226" s="28"/>
      <c r="F226" s="28"/>
      <c r="G226" s="28"/>
    </row>
    <row r="227" spans="2:7" ht="15" x14ac:dyDescent="0.25">
      <c r="B227" s="28"/>
      <c r="C227"/>
      <c r="D227"/>
      <c r="E227" s="28"/>
      <c r="F227" s="28"/>
      <c r="G227" s="28"/>
    </row>
    <row r="228" spans="2:7" ht="15" x14ac:dyDescent="0.25">
      <c r="B228" s="28"/>
      <c r="C228"/>
      <c r="D228"/>
      <c r="E228" s="28"/>
      <c r="F228" s="28"/>
      <c r="G228" s="28"/>
    </row>
    <row r="229" spans="2:7" ht="15" x14ac:dyDescent="0.25">
      <c r="B229" s="28"/>
      <c r="C229"/>
      <c r="D229"/>
      <c r="E229" s="28"/>
      <c r="F229" s="28"/>
      <c r="G229" s="28"/>
    </row>
    <row r="230" spans="2:7" ht="15" x14ac:dyDescent="0.25">
      <c r="B230" s="28"/>
      <c r="C230"/>
      <c r="D230"/>
      <c r="E230" s="28"/>
      <c r="F230" s="28"/>
      <c r="G230" s="28"/>
    </row>
    <row r="231" spans="2:7" ht="15" x14ac:dyDescent="0.25">
      <c r="B231" s="28"/>
      <c r="C231"/>
      <c r="D231"/>
      <c r="E231" s="28"/>
      <c r="F231" s="28"/>
      <c r="G231" s="28"/>
    </row>
    <row r="232" spans="2:7" ht="15" x14ac:dyDescent="0.25">
      <c r="B232" s="28"/>
      <c r="C232"/>
      <c r="D232"/>
      <c r="E232" s="28"/>
      <c r="F232" s="28"/>
      <c r="G232" s="28"/>
    </row>
    <row r="233" spans="2:7" ht="15" x14ac:dyDescent="0.25">
      <c r="B233" s="28"/>
      <c r="C233"/>
      <c r="D233"/>
      <c r="E233" s="28"/>
      <c r="F233" s="28"/>
      <c r="G233" s="28"/>
    </row>
    <row r="234" spans="2:7" ht="15" x14ac:dyDescent="0.25">
      <c r="B234" s="28"/>
      <c r="C234"/>
      <c r="D234"/>
      <c r="E234" s="28"/>
      <c r="F234" s="28"/>
      <c r="G234" s="28"/>
    </row>
    <row r="235" spans="2:7" ht="15" x14ac:dyDescent="0.25">
      <c r="B235" s="28"/>
      <c r="C235"/>
      <c r="D235"/>
      <c r="E235" s="28"/>
      <c r="F235" s="28"/>
      <c r="G235" s="28"/>
    </row>
    <row r="236" spans="2:7" ht="15" x14ac:dyDescent="0.25">
      <c r="B236" s="28"/>
      <c r="C236"/>
      <c r="D236"/>
      <c r="E236" s="28"/>
      <c r="F236" s="28"/>
      <c r="G236" s="28"/>
    </row>
    <row r="237" spans="2:7" ht="15" x14ac:dyDescent="0.25">
      <c r="B237" s="28"/>
      <c r="C237"/>
      <c r="D237"/>
      <c r="E237" s="28"/>
      <c r="F237" s="28"/>
      <c r="G237" s="28"/>
    </row>
    <row r="238" spans="2:7" ht="15" x14ac:dyDescent="0.25">
      <c r="B238" s="28"/>
      <c r="C238"/>
      <c r="D238"/>
      <c r="E238" s="28"/>
      <c r="F238" s="28"/>
      <c r="G238" s="28"/>
    </row>
    <row r="239" spans="2:7" ht="15" x14ac:dyDescent="0.25">
      <c r="B239" s="28"/>
      <c r="C239"/>
      <c r="D239"/>
      <c r="E239" s="28"/>
      <c r="F239" s="28"/>
      <c r="G239" s="28"/>
    </row>
    <row r="240" spans="2:7" ht="15" x14ac:dyDescent="0.25">
      <c r="B240" s="28"/>
      <c r="C240"/>
      <c r="D240"/>
      <c r="E240" s="28"/>
      <c r="F240" s="28"/>
      <c r="G240" s="28"/>
    </row>
    <row r="241" spans="2:7" ht="15" x14ac:dyDescent="0.25">
      <c r="B241" s="28"/>
      <c r="C241"/>
      <c r="D241"/>
      <c r="E241" s="28"/>
      <c r="F241" s="28"/>
      <c r="G241" s="28"/>
    </row>
    <row r="242" spans="2:7" ht="15" x14ac:dyDescent="0.25">
      <c r="B242" s="28"/>
      <c r="C242"/>
      <c r="D242"/>
      <c r="E242" s="28"/>
      <c r="F242" s="28"/>
      <c r="G242" s="28"/>
    </row>
    <row r="243" spans="2:7" ht="15" x14ac:dyDescent="0.25">
      <c r="B243" s="28"/>
      <c r="C243"/>
      <c r="D243"/>
      <c r="E243" s="28"/>
      <c r="F243" s="28"/>
      <c r="G243" s="28"/>
    </row>
    <row r="244" spans="2:7" ht="15" x14ac:dyDescent="0.25">
      <c r="B244" s="28"/>
      <c r="C244"/>
      <c r="D244"/>
      <c r="E244" s="28"/>
      <c r="F244" s="28"/>
      <c r="G244" s="28"/>
    </row>
    <row r="245" spans="2:7" ht="15" x14ac:dyDescent="0.25">
      <c r="B245" s="28"/>
      <c r="C245"/>
      <c r="D245"/>
      <c r="E245" s="28"/>
      <c r="F245" s="28"/>
      <c r="G245" s="28"/>
    </row>
    <row r="246" spans="2:7" ht="15" x14ac:dyDescent="0.25">
      <c r="B246" s="28"/>
      <c r="C246"/>
      <c r="D246"/>
      <c r="E246" s="28"/>
      <c r="F246" s="28"/>
      <c r="G246" s="28"/>
    </row>
    <row r="247" spans="2:7" ht="15" x14ac:dyDescent="0.25">
      <c r="B247" s="28"/>
      <c r="C247"/>
      <c r="D247"/>
      <c r="E247" s="28"/>
      <c r="F247" s="28"/>
      <c r="G247" s="28"/>
    </row>
    <row r="248" spans="2:7" ht="15" x14ac:dyDescent="0.25">
      <c r="B248" s="28"/>
      <c r="C248"/>
      <c r="D248"/>
      <c r="E248" s="28"/>
      <c r="F248" s="28"/>
      <c r="G248" s="28"/>
    </row>
    <row r="249" spans="2:7" ht="15" x14ac:dyDescent="0.25">
      <c r="B249" s="28"/>
      <c r="C249"/>
      <c r="D249"/>
      <c r="E249" s="28"/>
      <c r="F249" s="28"/>
      <c r="G249" s="28"/>
    </row>
    <row r="250" spans="2:7" ht="15" x14ac:dyDescent="0.25">
      <c r="B250" s="28"/>
      <c r="C250"/>
      <c r="D250"/>
      <c r="E250" s="28"/>
      <c r="F250" s="28"/>
      <c r="G250" s="28"/>
    </row>
    <row r="251" spans="2:7" ht="15" x14ac:dyDescent="0.25">
      <c r="B251" s="28"/>
      <c r="C251"/>
      <c r="D251"/>
      <c r="E251" s="28"/>
      <c r="F251" s="28"/>
      <c r="G251" s="28"/>
    </row>
    <row r="252" spans="2:7" ht="15" x14ac:dyDescent="0.25">
      <c r="B252" s="28"/>
      <c r="C252"/>
      <c r="D252"/>
      <c r="E252" s="28"/>
      <c r="F252" s="28"/>
      <c r="G252" s="28"/>
    </row>
    <row r="253" spans="2:7" ht="15" x14ac:dyDescent="0.25">
      <c r="B253" s="28"/>
      <c r="C253"/>
      <c r="D253"/>
      <c r="E253" s="28"/>
      <c r="F253" s="28"/>
      <c r="G253" s="28"/>
    </row>
    <row r="254" spans="2:7" ht="15" x14ac:dyDescent="0.25">
      <c r="B254" s="28"/>
      <c r="C254"/>
      <c r="D254"/>
      <c r="E254" s="28"/>
      <c r="F254" s="28"/>
      <c r="G254" s="28"/>
    </row>
    <row r="255" spans="2:7" ht="15" x14ac:dyDescent="0.25">
      <c r="B255" s="28"/>
      <c r="C255"/>
      <c r="D255"/>
      <c r="E255" s="28"/>
      <c r="F255" s="28"/>
      <c r="G255" s="28"/>
    </row>
    <row r="256" spans="2:7" ht="15" x14ac:dyDescent="0.25">
      <c r="B256" s="28"/>
      <c r="C256"/>
      <c r="D256"/>
      <c r="E256" s="28"/>
      <c r="F256" s="28"/>
      <c r="G256" s="28"/>
    </row>
    <row r="257" spans="2:7" ht="15" x14ac:dyDescent="0.25">
      <c r="B257" s="28"/>
      <c r="C257"/>
      <c r="D257"/>
      <c r="E257" s="28"/>
      <c r="F257" s="28"/>
      <c r="G257" s="28"/>
    </row>
    <row r="258" spans="2:7" ht="15" x14ac:dyDescent="0.25">
      <c r="B258" s="28"/>
      <c r="C258"/>
      <c r="D258"/>
      <c r="E258" s="28"/>
      <c r="F258" s="28"/>
      <c r="G258" s="28"/>
    </row>
    <row r="259" spans="2:7" ht="15" x14ac:dyDescent="0.25">
      <c r="B259" s="28"/>
      <c r="C259"/>
      <c r="D259"/>
      <c r="E259" s="28"/>
      <c r="F259" s="28"/>
      <c r="G259" s="28"/>
    </row>
    <row r="260" spans="2:7" ht="15" x14ac:dyDescent="0.25">
      <c r="B260" s="28"/>
      <c r="C260"/>
      <c r="D260"/>
      <c r="E260" s="28"/>
      <c r="F260" s="28"/>
      <c r="G260" s="28"/>
    </row>
    <row r="261" spans="2:7" ht="15" x14ac:dyDescent="0.25">
      <c r="B261" s="28"/>
      <c r="C261"/>
      <c r="D261"/>
      <c r="E261" s="28"/>
      <c r="F261" s="28"/>
      <c r="G261" s="28"/>
    </row>
    <row r="262" spans="2:7" ht="15" x14ac:dyDescent="0.25">
      <c r="B262" s="28"/>
      <c r="C262"/>
      <c r="D262"/>
      <c r="E262" s="28"/>
      <c r="F262" s="28"/>
      <c r="G262" s="28"/>
    </row>
    <row r="263" spans="2:7" ht="15" x14ac:dyDescent="0.25">
      <c r="B263" s="28"/>
      <c r="C263"/>
      <c r="D263"/>
      <c r="E263" s="28"/>
      <c r="F263" s="28"/>
      <c r="G263" s="28"/>
    </row>
    <row r="264" spans="2:7" ht="15" x14ac:dyDescent="0.25">
      <c r="B264" s="28"/>
      <c r="C264"/>
      <c r="D264"/>
      <c r="E264" s="28"/>
      <c r="F264" s="28"/>
      <c r="G264" s="28"/>
    </row>
    <row r="265" spans="2:7" ht="15" x14ac:dyDescent="0.25">
      <c r="B265" s="28"/>
      <c r="C265"/>
      <c r="D265"/>
      <c r="E265" s="28"/>
      <c r="F265" s="28"/>
      <c r="G265" s="28"/>
    </row>
    <row r="266" spans="2:7" ht="15" x14ac:dyDescent="0.25">
      <c r="B266" s="28"/>
      <c r="C266"/>
      <c r="D266"/>
      <c r="E266" s="28"/>
      <c r="F266" s="28"/>
      <c r="G266" s="28"/>
    </row>
    <row r="267" spans="2:7" ht="15" x14ac:dyDescent="0.25">
      <c r="B267" s="28"/>
      <c r="C267"/>
      <c r="D267"/>
      <c r="E267" s="28"/>
      <c r="F267" s="28"/>
      <c r="G267" s="28"/>
    </row>
    <row r="268" spans="2:7" ht="15" x14ac:dyDescent="0.25">
      <c r="B268" s="28"/>
      <c r="C268"/>
      <c r="D268"/>
      <c r="E268" s="28"/>
      <c r="F268" s="28"/>
      <c r="G268" s="28"/>
    </row>
    <row r="269" spans="2:7" ht="15" x14ac:dyDescent="0.25">
      <c r="B269" s="28"/>
      <c r="C269"/>
      <c r="D269"/>
      <c r="E269" s="28"/>
      <c r="F269" s="28"/>
      <c r="G269" s="28"/>
    </row>
    <row r="270" spans="2:7" ht="15" x14ac:dyDescent="0.25">
      <c r="B270" s="28"/>
      <c r="C270"/>
      <c r="D270"/>
      <c r="E270" s="28"/>
      <c r="F270" s="28"/>
      <c r="G270" s="28"/>
    </row>
    <row r="271" spans="2:7" ht="15" x14ac:dyDescent="0.25">
      <c r="B271" s="28"/>
      <c r="C271"/>
      <c r="D271"/>
      <c r="E271" s="28"/>
      <c r="F271" s="28"/>
      <c r="G271" s="28"/>
    </row>
    <row r="272" spans="2:7" ht="15" x14ac:dyDescent="0.25">
      <c r="B272" s="28"/>
      <c r="C272"/>
      <c r="D272"/>
      <c r="E272" s="28"/>
      <c r="F272" s="28"/>
      <c r="G272" s="28"/>
    </row>
    <row r="273" spans="2:7" ht="15" x14ac:dyDescent="0.25">
      <c r="B273" s="28"/>
      <c r="C273"/>
      <c r="D273"/>
      <c r="E273" s="28"/>
      <c r="F273" s="28"/>
      <c r="G273" s="28"/>
    </row>
    <row r="274" spans="2:7" ht="15" x14ac:dyDescent="0.25">
      <c r="B274" s="28"/>
      <c r="C274"/>
      <c r="D274"/>
      <c r="E274" s="28"/>
      <c r="F274" s="28"/>
      <c r="G274" s="28"/>
    </row>
    <row r="275" spans="2:7" ht="15" x14ac:dyDescent="0.25">
      <c r="B275" s="28"/>
      <c r="C275"/>
      <c r="D275"/>
      <c r="E275" s="28"/>
      <c r="F275" s="28"/>
      <c r="G275" s="28"/>
    </row>
    <row r="276" spans="2:7" ht="15" x14ac:dyDescent="0.25">
      <c r="B276" s="28"/>
      <c r="C276"/>
      <c r="D276"/>
      <c r="E276" s="28"/>
      <c r="F276" s="28"/>
      <c r="G276" s="28"/>
    </row>
    <row r="277" spans="2:7" ht="15" x14ac:dyDescent="0.25">
      <c r="B277" s="28"/>
      <c r="C277"/>
      <c r="D277"/>
      <c r="E277" s="28"/>
      <c r="F277" s="28"/>
      <c r="G277" s="28"/>
    </row>
    <row r="278" spans="2:7" ht="15" x14ac:dyDescent="0.25">
      <c r="B278" s="28"/>
      <c r="C278"/>
      <c r="D278"/>
      <c r="E278" s="28"/>
      <c r="F278" s="28"/>
      <c r="G278" s="28"/>
    </row>
    <row r="279" spans="2:7" ht="15" x14ac:dyDescent="0.25">
      <c r="B279" s="28"/>
      <c r="C279"/>
      <c r="D279"/>
      <c r="E279" s="28"/>
      <c r="F279" s="28"/>
      <c r="G279" s="28"/>
    </row>
    <row r="280" spans="2:7" ht="15" x14ac:dyDescent="0.25">
      <c r="B280" s="28"/>
      <c r="C280"/>
      <c r="D280"/>
      <c r="E280" s="28"/>
      <c r="F280" s="28"/>
      <c r="G280" s="28"/>
    </row>
    <row r="281" spans="2:7" ht="15" x14ac:dyDescent="0.25">
      <c r="B281" s="28"/>
      <c r="C281"/>
      <c r="D281"/>
      <c r="E281" s="28"/>
      <c r="F281" s="28"/>
      <c r="G281" s="28"/>
    </row>
    <row r="282" spans="2:7" ht="15" x14ac:dyDescent="0.25">
      <c r="B282" s="28"/>
      <c r="C282"/>
      <c r="D282"/>
      <c r="E282" s="28"/>
      <c r="F282" s="28"/>
      <c r="G282" s="28"/>
    </row>
    <row r="283" spans="2:7" ht="15" x14ac:dyDescent="0.25">
      <c r="B283" s="28"/>
      <c r="C283"/>
      <c r="D283"/>
      <c r="E283" s="28"/>
      <c r="F283" s="28"/>
      <c r="G283" s="28"/>
    </row>
    <row r="284" spans="2:7" ht="15" x14ac:dyDescent="0.25">
      <c r="B284" s="28"/>
      <c r="C284"/>
      <c r="D284"/>
      <c r="E284" s="28"/>
      <c r="F284" s="28"/>
      <c r="G284" s="28"/>
    </row>
    <row r="285" spans="2:7" ht="15" x14ac:dyDescent="0.25">
      <c r="B285" s="28"/>
      <c r="C285"/>
      <c r="D285"/>
      <c r="E285" s="28"/>
      <c r="F285" s="28"/>
      <c r="G285" s="28"/>
    </row>
    <row r="286" spans="2:7" ht="15" x14ac:dyDescent="0.25">
      <c r="B286" s="28"/>
      <c r="C286"/>
      <c r="D286"/>
      <c r="E286" s="28"/>
      <c r="F286" s="28"/>
      <c r="G286" s="28"/>
    </row>
    <row r="287" spans="2:7" ht="15" x14ac:dyDescent="0.25">
      <c r="B287" s="28"/>
      <c r="C287"/>
      <c r="D287"/>
      <c r="E287" s="28"/>
      <c r="F287" s="28"/>
      <c r="G287" s="28"/>
    </row>
    <row r="288" spans="2:7" ht="15" x14ac:dyDescent="0.25">
      <c r="B288" s="28"/>
      <c r="C288"/>
      <c r="D288"/>
      <c r="E288" s="28"/>
      <c r="F288" s="28"/>
      <c r="G288" s="28"/>
    </row>
    <row r="289" spans="2:7" ht="15" x14ac:dyDescent="0.25">
      <c r="B289" s="28"/>
      <c r="C289"/>
      <c r="D289"/>
      <c r="E289" s="28"/>
      <c r="F289" s="28"/>
      <c r="G289" s="28"/>
    </row>
    <row r="290" spans="2:7" ht="15" x14ac:dyDescent="0.25">
      <c r="B290" s="28"/>
      <c r="C290"/>
      <c r="D290"/>
      <c r="E290" s="28"/>
      <c r="F290" s="28"/>
      <c r="G290" s="28"/>
    </row>
    <row r="291" spans="2:7" ht="15" x14ac:dyDescent="0.25">
      <c r="B291" s="28"/>
      <c r="C291"/>
      <c r="D291"/>
      <c r="E291" s="28"/>
      <c r="F291" s="28"/>
      <c r="G291" s="28"/>
    </row>
    <row r="292" spans="2:7" ht="15" x14ac:dyDescent="0.25">
      <c r="B292" s="28"/>
      <c r="C292"/>
      <c r="D292"/>
      <c r="E292" s="28"/>
      <c r="F292" s="28"/>
      <c r="G292" s="28"/>
    </row>
    <row r="293" spans="2:7" ht="15" x14ac:dyDescent="0.25">
      <c r="B293" s="28"/>
      <c r="C293"/>
      <c r="D293"/>
      <c r="E293" s="28"/>
      <c r="F293" s="28"/>
      <c r="G293" s="28"/>
    </row>
    <row r="294" spans="2:7" ht="15" x14ac:dyDescent="0.25">
      <c r="B294" s="28"/>
      <c r="C294"/>
      <c r="D294"/>
      <c r="E294" s="28"/>
      <c r="F294" s="28"/>
      <c r="G294" s="28"/>
    </row>
    <row r="295" spans="2:7" ht="15" x14ac:dyDescent="0.25">
      <c r="B295" s="28"/>
      <c r="C295"/>
      <c r="D295"/>
      <c r="E295" s="28"/>
      <c r="F295" s="28"/>
      <c r="G295" s="28"/>
    </row>
    <row r="296" spans="2:7" ht="15" x14ac:dyDescent="0.25">
      <c r="B296" s="28"/>
      <c r="C296"/>
      <c r="D296"/>
      <c r="E296" s="28"/>
      <c r="F296" s="28"/>
      <c r="G296" s="28"/>
    </row>
    <row r="297" spans="2:7" ht="15" x14ac:dyDescent="0.25">
      <c r="B297" s="28"/>
      <c r="C297"/>
      <c r="D297"/>
      <c r="E297" s="28"/>
      <c r="F297" s="28"/>
      <c r="G297" s="28"/>
    </row>
    <row r="298" spans="2:7" ht="15" x14ac:dyDescent="0.25">
      <c r="B298" s="28"/>
      <c r="C298"/>
      <c r="D298"/>
      <c r="E298" s="28"/>
      <c r="F298" s="28"/>
      <c r="G298" s="28"/>
    </row>
    <row r="299" spans="2:7" ht="15" x14ac:dyDescent="0.25">
      <c r="B299" s="28"/>
      <c r="C299"/>
      <c r="D299"/>
      <c r="E299" s="28"/>
      <c r="F299" s="28"/>
      <c r="G299" s="28"/>
    </row>
    <row r="300" spans="2:7" ht="15" x14ac:dyDescent="0.25">
      <c r="B300" s="28"/>
      <c r="C300"/>
      <c r="D300"/>
      <c r="E300" s="28"/>
      <c r="F300" s="28"/>
      <c r="G300" s="28"/>
    </row>
    <row r="301" spans="2:7" ht="15" x14ac:dyDescent="0.25">
      <c r="B301" s="28"/>
      <c r="C301"/>
      <c r="D301"/>
      <c r="E301" s="28"/>
      <c r="F301" s="28"/>
      <c r="G301" s="28"/>
    </row>
    <row r="302" spans="2:7" ht="15" x14ac:dyDescent="0.25">
      <c r="B302" s="28"/>
      <c r="C302"/>
      <c r="D302"/>
      <c r="E302" s="28"/>
      <c r="F302" s="28"/>
      <c r="G302" s="28"/>
    </row>
    <row r="303" spans="2:7" ht="15" x14ac:dyDescent="0.25">
      <c r="B303" s="28"/>
      <c r="C303"/>
      <c r="D303"/>
      <c r="E303" s="28"/>
      <c r="F303" s="28"/>
      <c r="G303" s="28"/>
    </row>
    <row r="304" spans="2:7" ht="15" x14ac:dyDescent="0.25">
      <c r="B304" s="28"/>
      <c r="C304"/>
      <c r="D304"/>
      <c r="E304" s="28"/>
      <c r="F304" s="28"/>
      <c r="G304" s="28"/>
    </row>
    <row r="305" spans="2:7" ht="15" x14ac:dyDescent="0.25">
      <c r="B305" s="28"/>
      <c r="C305"/>
      <c r="D305"/>
      <c r="E305" s="28"/>
      <c r="F305" s="28"/>
      <c r="G305" s="28"/>
    </row>
    <row r="306" spans="2:7" ht="15" x14ac:dyDescent="0.25">
      <c r="B306" s="28"/>
      <c r="C306"/>
      <c r="D306"/>
      <c r="E306" s="28"/>
      <c r="F306" s="28"/>
      <c r="G306" s="28"/>
    </row>
    <row r="307" spans="2:7" ht="15" x14ac:dyDescent="0.25">
      <c r="B307" s="28"/>
      <c r="C307"/>
      <c r="D307"/>
      <c r="E307" s="28"/>
      <c r="F307" s="28"/>
      <c r="G307" s="28"/>
    </row>
    <row r="308" spans="2:7" ht="15" x14ac:dyDescent="0.25">
      <c r="B308" s="28"/>
      <c r="C308"/>
      <c r="D308"/>
      <c r="E308" s="28"/>
      <c r="F308" s="28"/>
      <c r="G308" s="28"/>
    </row>
    <row r="309" spans="2:7" ht="15" x14ac:dyDescent="0.25">
      <c r="B309" s="28"/>
      <c r="C309"/>
      <c r="D309"/>
      <c r="E309" s="28"/>
      <c r="F309" s="28"/>
      <c r="G309" s="28"/>
    </row>
    <row r="310" spans="2:7" ht="15" x14ac:dyDescent="0.25">
      <c r="B310" s="28"/>
      <c r="C310"/>
      <c r="D310"/>
      <c r="E310" s="28"/>
      <c r="F310" s="28"/>
      <c r="G310" s="28"/>
    </row>
    <row r="311" spans="2:7" ht="15" x14ac:dyDescent="0.25">
      <c r="B311" s="28"/>
      <c r="C311"/>
      <c r="D311"/>
      <c r="E311" s="28"/>
      <c r="F311" s="28"/>
      <c r="G311" s="28"/>
    </row>
    <row r="312" spans="2:7" ht="15" x14ac:dyDescent="0.25">
      <c r="B312" s="28"/>
      <c r="C312"/>
      <c r="D312"/>
      <c r="E312" s="28"/>
      <c r="F312" s="28"/>
      <c r="G312" s="28"/>
    </row>
    <row r="313" spans="2:7" ht="15" x14ac:dyDescent="0.25">
      <c r="B313" s="28"/>
      <c r="C313"/>
      <c r="D313"/>
      <c r="E313" s="28"/>
      <c r="F313" s="28"/>
      <c r="G313" s="28"/>
    </row>
    <row r="314" spans="2:7" ht="15" x14ac:dyDescent="0.25">
      <c r="B314" s="28"/>
      <c r="C314"/>
      <c r="D314"/>
      <c r="E314" s="28"/>
      <c r="F314" s="28"/>
      <c r="G314" s="28"/>
    </row>
    <row r="315" spans="2:7" ht="15" x14ac:dyDescent="0.25">
      <c r="B315" s="28"/>
      <c r="C315"/>
      <c r="D315"/>
      <c r="E315" s="28"/>
      <c r="F315" s="28"/>
      <c r="G315" s="28"/>
    </row>
    <row r="316" spans="2:7" ht="15" x14ac:dyDescent="0.25">
      <c r="B316" s="28"/>
      <c r="C316"/>
      <c r="D316"/>
      <c r="E316" s="28"/>
      <c r="F316" s="28"/>
      <c r="G316" s="28"/>
    </row>
    <row r="317" spans="2:7" ht="15" x14ac:dyDescent="0.25">
      <c r="B317" s="28"/>
      <c r="C317"/>
      <c r="D317"/>
      <c r="E317" s="28"/>
      <c r="F317" s="28"/>
      <c r="G317" s="28"/>
    </row>
    <row r="318" spans="2:7" ht="15" x14ac:dyDescent="0.25">
      <c r="B318" s="28"/>
      <c r="C318"/>
      <c r="D318"/>
      <c r="E318" s="28"/>
      <c r="F318" s="28"/>
      <c r="G318" s="28"/>
    </row>
    <row r="319" spans="2:7" ht="15" x14ac:dyDescent="0.25">
      <c r="B319" s="28"/>
      <c r="C319"/>
      <c r="D319"/>
      <c r="E319" s="28"/>
      <c r="F319" s="28"/>
      <c r="G319" s="28"/>
    </row>
    <row r="320" spans="2:7" ht="15" x14ac:dyDescent="0.25">
      <c r="B320" s="28"/>
      <c r="C320"/>
      <c r="D320"/>
      <c r="E320" s="28"/>
      <c r="F320" s="28"/>
      <c r="G320" s="28"/>
    </row>
    <row r="321" spans="2:7" ht="15" x14ac:dyDescent="0.25">
      <c r="B321" s="28"/>
      <c r="C321"/>
      <c r="D321"/>
      <c r="E321" s="28"/>
      <c r="F321" s="28"/>
      <c r="G321" s="28"/>
    </row>
    <row r="322" spans="2:7" ht="15" x14ac:dyDescent="0.25">
      <c r="B322" s="28"/>
      <c r="C322"/>
      <c r="D322"/>
      <c r="E322" s="28"/>
      <c r="F322" s="28"/>
      <c r="G322" s="28"/>
    </row>
    <row r="323" spans="2:7" ht="15" x14ac:dyDescent="0.25">
      <c r="B323" s="28"/>
      <c r="C323"/>
      <c r="D323"/>
      <c r="E323" s="28"/>
      <c r="F323" s="28"/>
      <c r="G323" s="28"/>
    </row>
    <row r="324" spans="2:7" ht="15" x14ac:dyDescent="0.25">
      <c r="B324" s="28"/>
      <c r="C324"/>
      <c r="D324"/>
      <c r="E324" s="28"/>
      <c r="F324" s="28"/>
      <c r="G324" s="28"/>
    </row>
    <row r="325" spans="2:7" ht="15" x14ac:dyDescent="0.25">
      <c r="B325" s="28"/>
      <c r="C325"/>
      <c r="D325"/>
      <c r="E325" s="28"/>
      <c r="F325" s="28"/>
      <c r="G325" s="28"/>
    </row>
    <row r="326" spans="2:7" ht="15" x14ac:dyDescent="0.25">
      <c r="B326" s="28"/>
      <c r="C326"/>
      <c r="D326"/>
      <c r="E326" s="28"/>
      <c r="F326" s="28"/>
      <c r="G326" s="28"/>
    </row>
    <row r="327" spans="2:7" ht="15" x14ac:dyDescent="0.25">
      <c r="B327" s="28"/>
      <c r="C327"/>
      <c r="D327"/>
      <c r="E327" s="28"/>
      <c r="F327" s="28"/>
      <c r="G327" s="28"/>
    </row>
    <row r="328" spans="2:7" ht="15" x14ac:dyDescent="0.25">
      <c r="B328" s="28"/>
      <c r="C328"/>
      <c r="D328"/>
      <c r="E328" s="28"/>
      <c r="F328" s="28"/>
      <c r="G328" s="28"/>
    </row>
    <row r="329" spans="2:7" ht="15" x14ac:dyDescent="0.25">
      <c r="B329" s="28"/>
      <c r="C329"/>
      <c r="D329"/>
      <c r="E329" s="28"/>
      <c r="F329" s="28"/>
      <c r="G329" s="28"/>
    </row>
    <row r="330" spans="2:7" ht="15" x14ac:dyDescent="0.25">
      <c r="B330" s="28"/>
      <c r="C330"/>
      <c r="D330"/>
      <c r="E330" s="28"/>
      <c r="F330" s="28"/>
      <c r="G330" s="28"/>
    </row>
    <row r="331" spans="2:7" ht="15" x14ac:dyDescent="0.25">
      <c r="B331" s="28"/>
      <c r="C331"/>
      <c r="D331"/>
      <c r="E331" s="28"/>
      <c r="F331" s="28"/>
      <c r="G331" s="28"/>
    </row>
    <row r="332" spans="2:7" ht="15" x14ac:dyDescent="0.25">
      <c r="B332" s="28"/>
      <c r="C332"/>
      <c r="D332"/>
      <c r="E332" s="28"/>
      <c r="F332" s="28"/>
      <c r="G332" s="28"/>
    </row>
    <row r="333" spans="2:7" ht="15" x14ac:dyDescent="0.25">
      <c r="B333" s="28"/>
      <c r="C333"/>
      <c r="D333"/>
      <c r="E333" s="28"/>
      <c r="F333" s="28"/>
      <c r="G333" s="28"/>
    </row>
    <row r="334" spans="2:7" ht="15" x14ac:dyDescent="0.25">
      <c r="B334" s="28"/>
      <c r="C334"/>
      <c r="D334"/>
      <c r="E334" s="28"/>
      <c r="F334" s="28"/>
      <c r="G334" s="28"/>
    </row>
    <row r="335" spans="2:7" ht="15" x14ac:dyDescent="0.25">
      <c r="B335" s="28"/>
      <c r="C335"/>
      <c r="D335"/>
      <c r="E335" s="28"/>
      <c r="F335" s="28"/>
      <c r="G335" s="28"/>
    </row>
    <row r="336" spans="2:7" ht="15" x14ac:dyDescent="0.25">
      <c r="B336" s="28"/>
      <c r="C336"/>
      <c r="D336"/>
      <c r="E336" s="28"/>
      <c r="F336" s="28"/>
      <c r="G336" s="28"/>
    </row>
    <row r="337" spans="2:7" ht="15" x14ac:dyDescent="0.25">
      <c r="B337" s="28"/>
      <c r="C337"/>
      <c r="D337"/>
      <c r="E337" s="28"/>
      <c r="F337" s="28"/>
      <c r="G337" s="28"/>
    </row>
    <row r="338" spans="2:7" ht="15" x14ac:dyDescent="0.25">
      <c r="B338" s="28"/>
      <c r="C338"/>
      <c r="D338"/>
      <c r="E338" s="28"/>
      <c r="F338" s="28"/>
      <c r="G338" s="28"/>
    </row>
    <row r="339" spans="2:7" ht="15" x14ac:dyDescent="0.25">
      <c r="B339" s="28"/>
      <c r="C339"/>
      <c r="D339"/>
      <c r="E339" s="28"/>
      <c r="F339" s="28"/>
      <c r="G339" s="28"/>
    </row>
    <row r="340" spans="2:7" ht="15" x14ac:dyDescent="0.25">
      <c r="B340" s="28"/>
      <c r="C340"/>
      <c r="D340"/>
      <c r="E340" s="28"/>
      <c r="F340" s="28"/>
      <c r="G340" s="28"/>
    </row>
    <row r="341" spans="2:7" ht="15" x14ac:dyDescent="0.25">
      <c r="B341" s="28"/>
      <c r="C341"/>
      <c r="D341"/>
      <c r="E341" s="28"/>
      <c r="F341" s="28"/>
      <c r="G341" s="28"/>
    </row>
    <row r="342" spans="2:7" ht="15" x14ac:dyDescent="0.25">
      <c r="B342" s="28"/>
      <c r="C342"/>
      <c r="D342"/>
      <c r="E342" s="28"/>
      <c r="F342" s="28"/>
      <c r="G342" s="28"/>
    </row>
    <row r="343" spans="2:7" ht="15" x14ac:dyDescent="0.25">
      <c r="B343" s="28"/>
      <c r="C343"/>
      <c r="D343"/>
      <c r="E343" s="28"/>
      <c r="F343" s="28"/>
      <c r="G343" s="28"/>
    </row>
    <row r="344" spans="2:7" ht="15" x14ac:dyDescent="0.25">
      <c r="B344" s="28"/>
      <c r="C344"/>
      <c r="D344"/>
      <c r="E344" s="28"/>
      <c r="F344" s="28"/>
      <c r="G344" s="28"/>
    </row>
    <row r="345" spans="2:7" ht="15" x14ac:dyDescent="0.25">
      <c r="B345" s="28"/>
      <c r="C345"/>
      <c r="D345"/>
      <c r="E345" s="28"/>
      <c r="F345" s="28"/>
      <c r="G345" s="28"/>
    </row>
    <row r="346" spans="2:7" ht="15" x14ac:dyDescent="0.25">
      <c r="B346" s="28"/>
      <c r="C346"/>
      <c r="D346"/>
      <c r="E346" s="28"/>
      <c r="F346" s="28"/>
      <c r="G346" s="28"/>
    </row>
    <row r="347" spans="2:7" ht="15" x14ac:dyDescent="0.25">
      <c r="B347" s="28"/>
      <c r="C347"/>
      <c r="D347"/>
      <c r="E347" s="28"/>
      <c r="F347" s="28"/>
      <c r="G347" s="28"/>
    </row>
    <row r="348" spans="2:7" ht="15" x14ac:dyDescent="0.25">
      <c r="B348" s="28"/>
      <c r="C348"/>
      <c r="D348"/>
      <c r="E348" s="28"/>
      <c r="F348" s="28"/>
      <c r="G348" s="28"/>
    </row>
    <row r="349" spans="2:7" ht="15" x14ac:dyDescent="0.25">
      <c r="B349" s="28"/>
      <c r="C349"/>
      <c r="D349"/>
      <c r="E349" s="28"/>
      <c r="F349" s="28"/>
      <c r="G349" s="28"/>
    </row>
    <row r="350" spans="2:7" ht="15" x14ac:dyDescent="0.25">
      <c r="B350" s="28"/>
      <c r="C350"/>
      <c r="D350"/>
      <c r="E350" s="28"/>
      <c r="F350" s="28"/>
      <c r="G350" s="28"/>
    </row>
    <row r="351" spans="2:7" ht="15" x14ac:dyDescent="0.25">
      <c r="B351" s="28"/>
      <c r="C351"/>
      <c r="D351"/>
      <c r="E351" s="28"/>
      <c r="F351" s="28"/>
      <c r="G351" s="28"/>
    </row>
    <row r="352" spans="2:7" ht="15" x14ac:dyDescent="0.25">
      <c r="B352" s="28"/>
      <c r="C352"/>
      <c r="D352"/>
      <c r="E352" s="28"/>
      <c r="F352" s="28"/>
      <c r="G352" s="28"/>
    </row>
    <row r="353" spans="2:7" ht="15" x14ac:dyDescent="0.25">
      <c r="B353" s="28"/>
      <c r="C353"/>
      <c r="D353"/>
      <c r="E353" s="28"/>
      <c r="F353" s="28"/>
      <c r="G353" s="28"/>
    </row>
    <row r="354" spans="2:7" ht="15" x14ac:dyDescent="0.25">
      <c r="B354" s="28"/>
      <c r="C354"/>
      <c r="D354"/>
      <c r="E354" s="28"/>
      <c r="F354" s="28"/>
      <c r="G354" s="28"/>
    </row>
    <row r="355" spans="2:7" ht="15" x14ac:dyDescent="0.25">
      <c r="B355" s="28"/>
      <c r="C355"/>
      <c r="D355"/>
      <c r="E355" s="28"/>
      <c r="F355" s="28"/>
      <c r="G355" s="28"/>
    </row>
    <row r="356" spans="2:7" ht="15" x14ac:dyDescent="0.25">
      <c r="B356" s="28"/>
      <c r="C356"/>
      <c r="D356"/>
      <c r="E356" s="28"/>
      <c r="F356" s="28"/>
      <c r="G356" s="28"/>
    </row>
    <row r="357" spans="2:7" ht="15" x14ac:dyDescent="0.25">
      <c r="B357" s="28"/>
      <c r="C357"/>
      <c r="D357"/>
      <c r="E357" s="28"/>
      <c r="F357" s="28"/>
      <c r="G357" s="28"/>
    </row>
    <row r="358" spans="2:7" ht="15" x14ac:dyDescent="0.25">
      <c r="B358" s="28"/>
      <c r="C358"/>
      <c r="D358"/>
      <c r="E358" s="28"/>
      <c r="F358" s="28"/>
      <c r="G358" s="28"/>
    </row>
    <row r="359" spans="2:7" ht="15" x14ac:dyDescent="0.25">
      <c r="B359" s="28"/>
      <c r="C359"/>
      <c r="D359"/>
      <c r="E359" s="28"/>
      <c r="F359" s="28"/>
      <c r="G359" s="28"/>
    </row>
    <row r="360" spans="2:7" ht="15" x14ac:dyDescent="0.25">
      <c r="B360" s="28"/>
      <c r="C360"/>
      <c r="D360"/>
      <c r="E360" s="28"/>
      <c r="F360" s="28"/>
      <c r="G360" s="28"/>
    </row>
    <row r="361" spans="2:7" ht="15" x14ac:dyDescent="0.25">
      <c r="B361" s="28"/>
      <c r="C361"/>
      <c r="D361"/>
      <c r="E361" s="28"/>
      <c r="F361" s="28"/>
      <c r="G361" s="28"/>
    </row>
    <row r="362" spans="2:7" ht="15" x14ac:dyDescent="0.25">
      <c r="B362" s="28"/>
      <c r="C362"/>
      <c r="D362"/>
      <c r="E362" s="28"/>
      <c r="F362" s="28"/>
      <c r="G362" s="28"/>
    </row>
    <row r="363" spans="2:7" ht="15" x14ac:dyDescent="0.25">
      <c r="B363" s="28"/>
      <c r="C363"/>
      <c r="D363"/>
      <c r="E363" s="28"/>
      <c r="F363" s="28"/>
      <c r="G363" s="28"/>
    </row>
    <row r="364" spans="2:7" ht="15" x14ac:dyDescent="0.25">
      <c r="B364" s="28"/>
      <c r="C364"/>
      <c r="D364"/>
      <c r="E364" s="28"/>
      <c r="F364" s="28"/>
      <c r="G364" s="28"/>
    </row>
    <row r="365" spans="2:7" ht="15" x14ac:dyDescent="0.25">
      <c r="B365" s="28"/>
      <c r="C365"/>
      <c r="D365"/>
      <c r="E365" s="28"/>
      <c r="F365" s="28"/>
      <c r="G365" s="28"/>
    </row>
    <row r="366" spans="2:7" ht="15" x14ac:dyDescent="0.25">
      <c r="B366" s="28"/>
      <c r="C366"/>
      <c r="D366"/>
      <c r="E366" s="28"/>
      <c r="F366" s="28"/>
      <c r="G366" s="28"/>
    </row>
    <row r="367" spans="2:7" ht="15" x14ac:dyDescent="0.25">
      <c r="B367" s="28"/>
      <c r="C367"/>
      <c r="D367"/>
      <c r="E367" s="28"/>
      <c r="F367" s="28"/>
      <c r="G367" s="28"/>
    </row>
    <row r="368" spans="2:7" ht="15" x14ac:dyDescent="0.25">
      <c r="B368" s="28"/>
      <c r="C368"/>
      <c r="D368"/>
      <c r="E368" s="28"/>
      <c r="F368" s="28"/>
      <c r="G368" s="28"/>
    </row>
    <row r="369" spans="2:7" ht="15" x14ac:dyDescent="0.25">
      <c r="B369" s="28"/>
      <c r="C369"/>
      <c r="D369"/>
      <c r="E369" s="28"/>
      <c r="F369" s="28"/>
      <c r="G369" s="28"/>
    </row>
    <row r="370" spans="2:7" ht="15" x14ac:dyDescent="0.25">
      <c r="B370" s="28"/>
      <c r="C370"/>
      <c r="D370"/>
      <c r="E370" s="28"/>
      <c r="F370" s="28"/>
      <c r="G370" s="28"/>
    </row>
    <row r="371" spans="2:7" ht="15" x14ac:dyDescent="0.25">
      <c r="B371" s="28"/>
      <c r="C371"/>
      <c r="D371"/>
      <c r="E371" s="28"/>
      <c r="F371" s="28"/>
      <c r="G371" s="28"/>
    </row>
    <row r="372" spans="2:7" ht="15" x14ac:dyDescent="0.25">
      <c r="B372" s="28"/>
      <c r="C372"/>
      <c r="D372"/>
      <c r="E372" s="28"/>
      <c r="F372" s="28"/>
      <c r="G372" s="28"/>
    </row>
    <row r="373" spans="2:7" ht="15" x14ac:dyDescent="0.25">
      <c r="B373" s="28"/>
      <c r="C373"/>
      <c r="D373"/>
      <c r="E373" s="28"/>
      <c r="F373" s="28"/>
      <c r="G373" s="28"/>
    </row>
    <row r="374" spans="2:7" ht="15" x14ac:dyDescent="0.25">
      <c r="B374" s="28"/>
      <c r="C374"/>
      <c r="D374"/>
      <c r="E374" s="28"/>
      <c r="F374" s="28"/>
      <c r="G374" s="28"/>
    </row>
    <row r="375" spans="2:7" ht="15" x14ac:dyDescent="0.25">
      <c r="B375" s="28"/>
      <c r="C375"/>
      <c r="D375"/>
      <c r="E375" s="28"/>
      <c r="F375" s="28"/>
      <c r="G375" s="28"/>
    </row>
    <row r="376" spans="2:7" ht="15" x14ac:dyDescent="0.25">
      <c r="B376" s="28"/>
      <c r="C376"/>
      <c r="D376"/>
      <c r="E376" s="28"/>
      <c r="F376" s="28"/>
      <c r="G376" s="28"/>
    </row>
    <row r="377" spans="2:7" ht="15" x14ac:dyDescent="0.25">
      <c r="B377" s="28"/>
      <c r="C377"/>
      <c r="D377"/>
      <c r="E377" s="28"/>
      <c r="F377" s="28"/>
      <c r="G377" s="28"/>
    </row>
    <row r="378" spans="2:7" ht="15" x14ac:dyDescent="0.25">
      <c r="B378" s="28"/>
      <c r="C378"/>
      <c r="D378"/>
      <c r="E378" s="28"/>
      <c r="F378" s="28"/>
      <c r="G378" s="28"/>
    </row>
    <row r="379" spans="2:7" ht="15" x14ac:dyDescent="0.25">
      <c r="B379" s="28"/>
      <c r="C379"/>
      <c r="D379"/>
      <c r="E379" s="28"/>
      <c r="F379" s="28"/>
      <c r="G379" s="28"/>
    </row>
    <row r="380" spans="2:7" ht="15" x14ac:dyDescent="0.25">
      <c r="B380" s="28"/>
      <c r="C380"/>
      <c r="D380"/>
      <c r="E380" s="28"/>
      <c r="F380" s="28"/>
      <c r="G380" s="28"/>
    </row>
    <row r="381" spans="2:7" ht="15" x14ac:dyDescent="0.25">
      <c r="B381" s="28"/>
      <c r="C381"/>
      <c r="D381"/>
      <c r="E381" s="28"/>
      <c r="F381" s="28"/>
      <c r="G381" s="28"/>
    </row>
    <row r="382" spans="2:7" ht="15" x14ac:dyDescent="0.25">
      <c r="B382" s="28"/>
      <c r="C382"/>
      <c r="D382"/>
      <c r="E382" s="28"/>
      <c r="F382" s="28"/>
      <c r="G382" s="28"/>
    </row>
    <row r="383" spans="2:7" ht="15" x14ac:dyDescent="0.25">
      <c r="B383" s="28"/>
      <c r="C383"/>
      <c r="D383"/>
      <c r="E383" s="28"/>
      <c r="F383" s="28"/>
      <c r="G383" s="28"/>
    </row>
    <row r="384" spans="2:7" ht="15" x14ac:dyDescent="0.25">
      <c r="B384" s="28"/>
      <c r="C384"/>
      <c r="D384"/>
      <c r="E384" s="28"/>
      <c r="F384" s="28"/>
      <c r="G384" s="28"/>
    </row>
    <row r="385" spans="2:7" ht="15" x14ac:dyDescent="0.25">
      <c r="B385" s="28"/>
      <c r="C385"/>
      <c r="D385"/>
      <c r="E385" s="28"/>
      <c r="F385" s="28"/>
      <c r="G385" s="28"/>
    </row>
    <row r="386" spans="2:7" ht="15" x14ac:dyDescent="0.25">
      <c r="B386" s="28"/>
      <c r="C386"/>
      <c r="D386"/>
      <c r="E386" s="28"/>
      <c r="F386" s="28"/>
      <c r="G386" s="28"/>
    </row>
    <row r="387" spans="2:7" ht="15" x14ac:dyDescent="0.25">
      <c r="B387" s="28"/>
      <c r="C387"/>
      <c r="D387"/>
      <c r="E387" s="28"/>
      <c r="F387" s="28"/>
      <c r="G387" s="28"/>
    </row>
    <row r="388" spans="2:7" ht="15" x14ac:dyDescent="0.25">
      <c r="B388" s="28"/>
      <c r="C388"/>
      <c r="D388"/>
      <c r="E388" s="28"/>
      <c r="F388" s="28"/>
      <c r="G388" s="28"/>
    </row>
    <row r="389" spans="2:7" ht="15" x14ac:dyDescent="0.25">
      <c r="B389" s="28"/>
      <c r="C389"/>
      <c r="D389"/>
      <c r="E389" s="28"/>
      <c r="F389" s="28"/>
      <c r="G389" s="28"/>
    </row>
    <row r="390" spans="2:7" ht="15" x14ac:dyDescent="0.25">
      <c r="B390" s="28"/>
      <c r="C390"/>
      <c r="D390"/>
      <c r="E390" s="28"/>
      <c r="F390" s="28"/>
      <c r="G390" s="28"/>
    </row>
    <row r="391" spans="2:7" ht="15" x14ac:dyDescent="0.25">
      <c r="B391" s="28"/>
      <c r="C391"/>
      <c r="D391"/>
      <c r="E391" s="28"/>
      <c r="F391" s="28"/>
      <c r="G391" s="28"/>
    </row>
    <row r="392" spans="2:7" ht="15" x14ac:dyDescent="0.25">
      <c r="B392" s="28"/>
      <c r="C392"/>
      <c r="D392"/>
      <c r="E392" s="28"/>
      <c r="F392" s="28"/>
      <c r="G392" s="28"/>
    </row>
    <row r="393" spans="2:7" ht="15" x14ac:dyDescent="0.25">
      <c r="B393" s="28"/>
      <c r="C393"/>
      <c r="D393"/>
      <c r="E393" s="28"/>
      <c r="F393" s="28"/>
      <c r="G393" s="28"/>
    </row>
    <row r="394" spans="2:7" ht="15" x14ac:dyDescent="0.25">
      <c r="B394" s="28"/>
      <c r="C394"/>
      <c r="D394"/>
      <c r="E394" s="28"/>
      <c r="F394" s="28"/>
      <c r="G394" s="28"/>
    </row>
    <row r="395" spans="2:7" ht="15" x14ac:dyDescent="0.25">
      <c r="B395" s="28"/>
      <c r="C395"/>
      <c r="D395"/>
      <c r="E395" s="28"/>
      <c r="F395" s="28"/>
      <c r="G395" s="28"/>
    </row>
    <row r="396" spans="2:7" ht="15" x14ac:dyDescent="0.25">
      <c r="B396" s="28"/>
      <c r="C396"/>
      <c r="D396"/>
      <c r="E396" s="28"/>
      <c r="F396" s="28"/>
      <c r="G396" s="28"/>
    </row>
    <row r="397" spans="2:7" ht="15" x14ac:dyDescent="0.25">
      <c r="B397" s="28"/>
      <c r="C397"/>
      <c r="D397"/>
      <c r="E397" s="28"/>
      <c r="F397" s="28"/>
      <c r="G397" s="28"/>
    </row>
    <row r="398" spans="2:7" ht="15" x14ac:dyDescent="0.25">
      <c r="B398" s="28"/>
      <c r="C398"/>
      <c r="D398"/>
      <c r="E398" s="28"/>
      <c r="F398" s="28"/>
      <c r="G398" s="28"/>
    </row>
    <row r="399" spans="2:7" ht="15" x14ac:dyDescent="0.25">
      <c r="B399" s="28"/>
      <c r="C399"/>
      <c r="D399"/>
      <c r="E399" s="28"/>
      <c r="F399" s="28"/>
      <c r="G399" s="28"/>
    </row>
    <row r="400" spans="2:7" ht="15" x14ac:dyDescent="0.25">
      <c r="B400" s="28"/>
      <c r="C400"/>
      <c r="D400"/>
      <c r="E400" s="28"/>
      <c r="F400" s="28"/>
      <c r="G400" s="28"/>
    </row>
    <row r="401" spans="2:7" ht="15" x14ac:dyDescent="0.25">
      <c r="B401" s="28"/>
      <c r="C401"/>
      <c r="D401"/>
      <c r="E401" s="28"/>
      <c r="F401" s="28"/>
      <c r="G401" s="28"/>
    </row>
    <row r="402" spans="2:7" ht="15" x14ac:dyDescent="0.25">
      <c r="B402" s="28"/>
      <c r="C402"/>
      <c r="D402"/>
      <c r="E402" s="28"/>
      <c r="F402" s="28"/>
      <c r="G402" s="28"/>
    </row>
    <row r="403" spans="2:7" ht="15" x14ac:dyDescent="0.25">
      <c r="B403" s="28"/>
      <c r="C403"/>
      <c r="D403"/>
      <c r="E403" s="28"/>
      <c r="F403" s="28"/>
      <c r="G403" s="28"/>
    </row>
    <row r="404" spans="2:7" ht="15" x14ac:dyDescent="0.25">
      <c r="B404" s="28"/>
      <c r="C404"/>
      <c r="D404"/>
      <c r="E404" s="28"/>
      <c r="F404" s="28"/>
      <c r="G404" s="28"/>
    </row>
    <row r="405" spans="2:7" ht="15" x14ac:dyDescent="0.25">
      <c r="B405" s="28"/>
      <c r="C405"/>
      <c r="D405"/>
      <c r="E405" s="28"/>
      <c r="F405" s="28"/>
      <c r="G405" s="28"/>
    </row>
    <row r="406" spans="2:7" ht="15" x14ac:dyDescent="0.25">
      <c r="B406" s="28"/>
      <c r="C406"/>
      <c r="D406"/>
      <c r="E406" s="28"/>
      <c r="F406" s="28"/>
      <c r="G406" s="28"/>
    </row>
    <row r="407" spans="2:7" ht="15" x14ac:dyDescent="0.25">
      <c r="B407" s="28"/>
      <c r="C407"/>
      <c r="D407"/>
      <c r="E407" s="28"/>
      <c r="F407" s="28"/>
      <c r="G407" s="28"/>
    </row>
    <row r="408" spans="2:7" ht="15" x14ac:dyDescent="0.25">
      <c r="B408" s="28"/>
      <c r="C408"/>
      <c r="D408"/>
      <c r="E408" s="28"/>
      <c r="F408" s="28"/>
      <c r="G408" s="28"/>
    </row>
    <row r="409" spans="2:7" ht="15" x14ac:dyDescent="0.25">
      <c r="B409" s="28"/>
      <c r="C409"/>
      <c r="D409"/>
      <c r="E409" s="28"/>
      <c r="F409" s="28"/>
      <c r="G409" s="28"/>
    </row>
    <row r="410" spans="2:7" ht="15" x14ac:dyDescent="0.25">
      <c r="B410" s="28"/>
      <c r="C410"/>
      <c r="D410"/>
      <c r="E410" s="28"/>
      <c r="F410" s="28"/>
      <c r="G410" s="28"/>
    </row>
    <row r="411" spans="2:7" ht="15" x14ac:dyDescent="0.25">
      <c r="B411" s="28"/>
      <c r="C411"/>
      <c r="D411"/>
      <c r="E411" s="28"/>
      <c r="F411" s="28"/>
      <c r="G411" s="28"/>
    </row>
    <row r="412" spans="2:7" ht="15" x14ac:dyDescent="0.25">
      <c r="B412" s="28"/>
      <c r="C412"/>
      <c r="D412"/>
      <c r="E412" s="28"/>
      <c r="F412" s="28"/>
      <c r="G412" s="28"/>
    </row>
    <row r="413" spans="2:7" ht="15" x14ac:dyDescent="0.25">
      <c r="B413" s="28"/>
      <c r="C413"/>
      <c r="D413"/>
      <c r="E413" s="28"/>
      <c r="F413" s="28"/>
      <c r="G413" s="28"/>
    </row>
    <row r="414" spans="2:7" ht="15" x14ac:dyDescent="0.25">
      <c r="B414" s="28"/>
      <c r="C414"/>
      <c r="D414"/>
      <c r="E414" s="28"/>
      <c r="F414" s="28"/>
      <c r="G414" s="28"/>
    </row>
    <row r="415" spans="2:7" ht="15" x14ac:dyDescent="0.25">
      <c r="B415" s="28"/>
      <c r="C415"/>
      <c r="D415"/>
      <c r="E415" s="28"/>
      <c r="F415" s="28"/>
      <c r="G415" s="28"/>
    </row>
    <row r="416" spans="2:7" ht="15" x14ac:dyDescent="0.25">
      <c r="B416" s="28"/>
      <c r="C416"/>
      <c r="D416"/>
      <c r="E416" s="28"/>
      <c r="F416" s="28"/>
      <c r="G416" s="28"/>
    </row>
    <row r="417" spans="2:7" ht="15" x14ac:dyDescent="0.25">
      <c r="B417" s="28"/>
      <c r="C417"/>
      <c r="D417"/>
      <c r="E417" s="28"/>
      <c r="F417" s="28"/>
      <c r="G417" s="28"/>
    </row>
    <row r="418" spans="2:7" ht="15" x14ac:dyDescent="0.25">
      <c r="B418" s="28"/>
      <c r="C418"/>
      <c r="D418"/>
      <c r="E418" s="28"/>
      <c r="F418" s="28"/>
      <c r="G418" s="28"/>
    </row>
    <row r="419" spans="2:7" ht="15" x14ac:dyDescent="0.25">
      <c r="B419" s="28"/>
      <c r="C419"/>
      <c r="D419"/>
      <c r="E419" s="28"/>
      <c r="F419" s="28"/>
      <c r="G419" s="28"/>
    </row>
    <row r="420" spans="2:7" ht="15" x14ac:dyDescent="0.25">
      <c r="B420" s="28"/>
      <c r="C420"/>
      <c r="D420"/>
      <c r="E420" s="28"/>
      <c r="F420" s="28"/>
      <c r="G420" s="28"/>
    </row>
    <row r="421" spans="2:7" ht="15" x14ac:dyDescent="0.25">
      <c r="B421" s="28"/>
      <c r="C421"/>
      <c r="D421"/>
      <c r="E421" s="28"/>
      <c r="F421" s="28"/>
      <c r="G421" s="28"/>
    </row>
    <row r="422" spans="2:7" ht="15" x14ac:dyDescent="0.25">
      <c r="B422" s="28"/>
      <c r="C422"/>
      <c r="D422"/>
      <c r="E422" s="28"/>
      <c r="F422" s="28"/>
      <c r="G422" s="28"/>
    </row>
    <row r="423" spans="2:7" ht="15" x14ac:dyDescent="0.25">
      <c r="B423" s="28"/>
      <c r="C423"/>
      <c r="D423"/>
      <c r="E423" s="28"/>
      <c r="F423" s="28"/>
      <c r="G423" s="28"/>
    </row>
    <row r="424" spans="2:7" ht="15" x14ac:dyDescent="0.25">
      <c r="B424" s="28"/>
      <c r="C424"/>
      <c r="D424"/>
      <c r="E424" s="28"/>
      <c r="F424" s="28"/>
      <c r="G424" s="28"/>
    </row>
    <row r="425" spans="2:7" ht="15" x14ac:dyDescent="0.25">
      <c r="B425" s="28"/>
      <c r="C425"/>
      <c r="D425"/>
      <c r="E425" s="28"/>
      <c r="F425" s="28"/>
      <c r="G425" s="28"/>
    </row>
    <row r="426" spans="2:7" ht="15" x14ac:dyDescent="0.25">
      <c r="B426" s="28"/>
      <c r="C426"/>
      <c r="D426"/>
      <c r="E426" s="28"/>
      <c r="F426" s="28"/>
      <c r="G426" s="28"/>
    </row>
    <row r="427" spans="2:7" ht="15" x14ac:dyDescent="0.25">
      <c r="B427" s="28"/>
      <c r="C427"/>
      <c r="D427"/>
      <c r="E427" s="28"/>
      <c r="F427" s="28"/>
      <c r="G427" s="28"/>
    </row>
    <row r="428" spans="2:7" ht="15" x14ac:dyDescent="0.25">
      <c r="B428" s="28"/>
      <c r="C428"/>
      <c r="D428"/>
      <c r="E428" s="28"/>
      <c r="F428" s="28"/>
      <c r="G428" s="28"/>
    </row>
    <row r="429" spans="2:7" ht="15" x14ac:dyDescent="0.25">
      <c r="B429" s="28"/>
      <c r="C429"/>
      <c r="D429"/>
      <c r="E429" s="28"/>
      <c r="F429" s="28"/>
      <c r="G429" s="28"/>
    </row>
    <row r="430" spans="2:7" ht="15" x14ac:dyDescent="0.25">
      <c r="B430" s="28"/>
      <c r="C430"/>
      <c r="D430"/>
      <c r="E430" s="28"/>
      <c r="F430" s="28"/>
      <c r="G430" s="28"/>
    </row>
    <row r="431" spans="2:7" ht="15" x14ac:dyDescent="0.25">
      <c r="B431" s="28"/>
      <c r="C431"/>
      <c r="D431"/>
      <c r="E431" s="28"/>
      <c r="F431" s="28"/>
      <c r="G431" s="28"/>
    </row>
    <row r="432" spans="2:7" ht="15" x14ac:dyDescent="0.25">
      <c r="B432" s="28"/>
      <c r="C432"/>
      <c r="D432"/>
      <c r="E432" s="28"/>
      <c r="F432" s="28"/>
      <c r="G432" s="28"/>
    </row>
    <row r="433" spans="2:7" ht="15" x14ac:dyDescent="0.25">
      <c r="B433" s="28"/>
      <c r="C433"/>
      <c r="D433"/>
      <c r="E433" s="28"/>
      <c r="F433" s="28"/>
      <c r="G433" s="28"/>
    </row>
    <row r="434" spans="2:7" ht="15" x14ac:dyDescent="0.25">
      <c r="B434" s="28"/>
      <c r="C434"/>
      <c r="D434"/>
      <c r="E434" s="28"/>
      <c r="F434" s="28"/>
      <c r="G434" s="28"/>
    </row>
    <row r="435" spans="2:7" ht="15" x14ac:dyDescent="0.25">
      <c r="B435" s="28"/>
      <c r="C435"/>
      <c r="D435"/>
      <c r="E435" s="28"/>
      <c r="F435" s="28"/>
      <c r="G435" s="28"/>
    </row>
    <row r="436" spans="2:7" ht="15" x14ac:dyDescent="0.25">
      <c r="B436" s="28"/>
      <c r="C436"/>
      <c r="D436"/>
      <c r="E436" s="28"/>
      <c r="F436" s="28"/>
      <c r="G436" s="28"/>
    </row>
    <row r="437" spans="2:7" ht="15" x14ac:dyDescent="0.25">
      <c r="B437" s="28"/>
      <c r="C437"/>
      <c r="D437"/>
      <c r="E437" s="28"/>
      <c r="F437" s="28"/>
      <c r="G437" s="28"/>
    </row>
    <row r="438" spans="2:7" ht="15" x14ac:dyDescent="0.25">
      <c r="B438" s="28"/>
      <c r="C438"/>
      <c r="D438"/>
      <c r="E438" s="28"/>
      <c r="F438" s="28"/>
      <c r="G438" s="28"/>
    </row>
    <row r="439" spans="2:7" ht="15" x14ac:dyDescent="0.25">
      <c r="B439" s="28"/>
      <c r="C439"/>
      <c r="D439"/>
      <c r="E439" s="28"/>
      <c r="F439" s="28"/>
      <c r="G439" s="28"/>
    </row>
    <row r="440" spans="2:7" ht="15" x14ac:dyDescent="0.25">
      <c r="B440" s="28"/>
      <c r="C440"/>
      <c r="D440"/>
      <c r="E440" s="28"/>
      <c r="F440" s="28"/>
      <c r="G440" s="28"/>
    </row>
    <row r="441" spans="2:7" ht="15" x14ac:dyDescent="0.25">
      <c r="B441" s="28"/>
      <c r="C441"/>
      <c r="D441"/>
      <c r="E441" s="28"/>
      <c r="F441" s="28"/>
      <c r="G441" s="28"/>
    </row>
    <row r="442" spans="2:7" ht="15" x14ac:dyDescent="0.25">
      <c r="B442" s="28"/>
      <c r="C442"/>
      <c r="D442"/>
      <c r="E442" s="28"/>
      <c r="F442" s="28"/>
      <c r="G442" s="28"/>
    </row>
    <row r="443" spans="2:7" ht="15" x14ac:dyDescent="0.25">
      <c r="B443" s="28"/>
      <c r="C443"/>
      <c r="D443"/>
      <c r="E443" s="28"/>
      <c r="F443" s="28"/>
      <c r="G443" s="28"/>
    </row>
    <row r="444" spans="2:7" ht="15" x14ac:dyDescent="0.25">
      <c r="B444" s="28"/>
      <c r="C444"/>
      <c r="D444"/>
      <c r="E444" s="28"/>
      <c r="F444" s="28"/>
      <c r="G444" s="28"/>
    </row>
    <row r="445" spans="2:7" ht="15" x14ac:dyDescent="0.25">
      <c r="B445" s="28"/>
      <c r="C445"/>
      <c r="D445"/>
      <c r="E445" s="28"/>
      <c r="F445" s="28"/>
      <c r="G445" s="28"/>
    </row>
    <row r="446" spans="2:7" ht="15" x14ac:dyDescent="0.25">
      <c r="B446" s="28"/>
      <c r="C446"/>
      <c r="D446"/>
      <c r="E446" s="28"/>
      <c r="F446" s="28"/>
      <c r="G446" s="28"/>
    </row>
    <row r="447" spans="2:7" ht="15" x14ac:dyDescent="0.25">
      <c r="B447" s="28"/>
      <c r="C447"/>
      <c r="D447"/>
      <c r="E447" s="28"/>
      <c r="F447" s="28"/>
      <c r="G447" s="28"/>
    </row>
    <row r="448" spans="2:7" ht="15" x14ac:dyDescent="0.25">
      <c r="B448" s="28"/>
      <c r="C448"/>
      <c r="D448"/>
      <c r="E448" s="28"/>
      <c r="F448" s="28"/>
      <c r="G448" s="28"/>
    </row>
    <row r="449" spans="2:7" ht="15" x14ac:dyDescent="0.25">
      <c r="B449" s="28"/>
      <c r="C449"/>
      <c r="D449"/>
      <c r="E449" s="28"/>
      <c r="F449" s="28"/>
      <c r="G449" s="28"/>
    </row>
    <row r="450" spans="2:7" ht="15" x14ac:dyDescent="0.25">
      <c r="B450" s="28"/>
      <c r="C450"/>
      <c r="D450"/>
      <c r="E450" s="28"/>
      <c r="F450" s="28"/>
      <c r="G450" s="28"/>
    </row>
    <row r="451" spans="2:7" ht="15" x14ac:dyDescent="0.25">
      <c r="B451" s="28"/>
      <c r="C451"/>
      <c r="D451"/>
      <c r="E451" s="28"/>
      <c r="F451" s="28"/>
      <c r="G451" s="28"/>
    </row>
    <row r="452" spans="2:7" ht="15" x14ac:dyDescent="0.25">
      <c r="B452" s="28"/>
      <c r="C452"/>
      <c r="D452"/>
      <c r="E452" s="28"/>
      <c r="F452" s="28"/>
      <c r="G452" s="28"/>
    </row>
    <row r="453" spans="2:7" ht="15" x14ac:dyDescent="0.25">
      <c r="B453" s="28"/>
      <c r="C453"/>
      <c r="D453"/>
      <c r="E453" s="28"/>
      <c r="F453" s="28"/>
      <c r="G453" s="28"/>
    </row>
    <row r="454" spans="2:7" ht="15" x14ac:dyDescent="0.25">
      <c r="B454" s="28"/>
      <c r="C454"/>
      <c r="D454"/>
      <c r="E454" s="28"/>
      <c r="F454" s="28"/>
      <c r="G454" s="28"/>
    </row>
    <row r="455" spans="2:7" ht="15" x14ac:dyDescent="0.25">
      <c r="B455" s="28"/>
      <c r="C455"/>
      <c r="D455"/>
      <c r="E455" s="28"/>
      <c r="F455" s="28"/>
      <c r="G455" s="28"/>
    </row>
    <row r="456" spans="2:7" ht="15" x14ac:dyDescent="0.25">
      <c r="B456" s="28"/>
      <c r="C456"/>
      <c r="D456"/>
      <c r="E456" s="28"/>
      <c r="F456" s="28"/>
      <c r="G456" s="28"/>
    </row>
    <row r="457" spans="2:7" ht="15" x14ac:dyDescent="0.25">
      <c r="B457" s="28"/>
      <c r="C457"/>
      <c r="D457"/>
      <c r="E457" s="28"/>
      <c r="F457" s="28"/>
      <c r="G457" s="28"/>
    </row>
    <row r="458" spans="2:7" ht="15" x14ac:dyDescent="0.25">
      <c r="B458" s="28"/>
      <c r="C458"/>
      <c r="D458"/>
      <c r="E458" s="28"/>
      <c r="F458" s="28"/>
      <c r="G458" s="28"/>
    </row>
    <row r="459" spans="2:7" ht="15" x14ac:dyDescent="0.25">
      <c r="B459" s="28"/>
      <c r="C459"/>
      <c r="D459"/>
      <c r="E459" s="28"/>
      <c r="F459" s="28"/>
      <c r="G459" s="28"/>
    </row>
    <row r="460" spans="2:7" ht="15" x14ac:dyDescent="0.25">
      <c r="B460" s="28"/>
      <c r="C460"/>
      <c r="D460"/>
      <c r="E460" s="28"/>
      <c r="F460" s="28"/>
      <c r="G460" s="28"/>
    </row>
    <row r="461" spans="2:7" ht="15" x14ac:dyDescent="0.25">
      <c r="B461" s="28"/>
      <c r="C461"/>
      <c r="D461"/>
      <c r="E461" s="28"/>
      <c r="F461" s="28"/>
      <c r="G461" s="28"/>
    </row>
    <row r="462" spans="2:7" ht="15" x14ac:dyDescent="0.25">
      <c r="B462" s="28"/>
      <c r="C462"/>
      <c r="D462"/>
      <c r="E462" s="28"/>
      <c r="F462" s="28"/>
      <c r="G462" s="28"/>
    </row>
    <row r="463" spans="2:7" ht="15" x14ac:dyDescent="0.25">
      <c r="B463" s="28"/>
      <c r="C463"/>
      <c r="D463"/>
      <c r="E463" s="28"/>
      <c r="F463" s="28"/>
      <c r="G463" s="28"/>
    </row>
    <row r="464" spans="2:7" ht="15" x14ac:dyDescent="0.25">
      <c r="B464" s="28"/>
      <c r="C464"/>
      <c r="D464"/>
      <c r="E464" s="28"/>
      <c r="F464" s="28"/>
      <c r="G464" s="28"/>
    </row>
    <row r="465" spans="2:7" ht="15" x14ac:dyDescent="0.25">
      <c r="B465" s="28"/>
      <c r="C465"/>
      <c r="D465"/>
      <c r="E465" s="28"/>
      <c r="F465" s="28"/>
      <c r="G465" s="28"/>
    </row>
    <row r="466" spans="2:7" ht="15" x14ac:dyDescent="0.25">
      <c r="B466" s="28"/>
      <c r="C466"/>
      <c r="D466"/>
      <c r="E466" s="28"/>
      <c r="F466" s="28"/>
      <c r="G466" s="28"/>
    </row>
    <row r="467" spans="2:7" ht="15" x14ac:dyDescent="0.25">
      <c r="B467" s="28"/>
      <c r="C467"/>
      <c r="D467"/>
      <c r="E467" s="28"/>
      <c r="F467" s="28"/>
      <c r="G467" s="28"/>
    </row>
    <row r="468" spans="2:7" ht="15" x14ac:dyDescent="0.25">
      <c r="B468" s="28"/>
      <c r="C468"/>
      <c r="D468"/>
      <c r="E468" s="28"/>
      <c r="F468" s="28"/>
      <c r="G468" s="28"/>
    </row>
    <row r="469" spans="2:7" ht="15" x14ac:dyDescent="0.25">
      <c r="B469" s="28"/>
      <c r="C469"/>
      <c r="D469"/>
      <c r="E469" s="28"/>
      <c r="F469" s="28"/>
      <c r="G469" s="28"/>
    </row>
    <row r="470" spans="2:7" ht="15" x14ac:dyDescent="0.25">
      <c r="B470" s="28"/>
      <c r="C470"/>
      <c r="D470"/>
      <c r="E470" s="28"/>
      <c r="F470" s="28"/>
      <c r="G470" s="28"/>
    </row>
    <row r="471" spans="2:7" ht="15" x14ac:dyDescent="0.25">
      <c r="B471" s="28"/>
      <c r="C471"/>
      <c r="D471"/>
      <c r="E471" s="28"/>
      <c r="F471" s="28"/>
      <c r="G471" s="28"/>
    </row>
    <row r="472" spans="2:7" ht="15" x14ac:dyDescent="0.25">
      <c r="B472" s="28"/>
      <c r="C472"/>
      <c r="D472"/>
      <c r="E472" s="28"/>
      <c r="F472" s="28"/>
      <c r="G472" s="28"/>
    </row>
    <row r="473" spans="2:7" ht="15" x14ac:dyDescent="0.25">
      <c r="B473" s="28"/>
      <c r="C473"/>
      <c r="D473"/>
      <c r="E473" s="28"/>
      <c r="F473" s="28"/>
      <c r="G473" s="28"/>
    </row>
    <row r="474" spans="2:7" ht="15" x14ac:dyDescent="0.25">
      <c r="B474" s="28"/>
      <c r="C474"/>
      <c r="D474"/>
      <c r="E474" s="28"/>
      <c r="F474" s="28"/>
      <c r="G474" s="28"/>
    </row>
    <row r="475" spans="2:7" ht="15" x14ac:dyDescent="0.25">
      <c r="B475" s="28"/>
      <c r="C475"/>
      <c r="D475"/>
      <c r="E475" s="28"/>
      <c r="F475" s="28"/>
      <c r="G475" s="28"/>
    </row>
    <row r="476" spans="2:7" ht="15" x14ac:dyDescent="0.25">
      <c r="B476" s="28"/>
      <c r="C476"/>
      <c r="D476"/>
      <c r="E476" s="28"/>
      <c r="F476" s="28"/>
      <c r="G476" s="28"/>
    </row>
    <row r="477" spans="2:7" ht="15" x14ac:dyDescent="0.25">
      <c r="B477" s="28"/>
      <c r="C477"/>
      <c r="D477"/>
      <c r="E477" s="28"/>
      <c r="F477" s="28"/>
      <c r="G477" s="28"/>
    </row>
    <row r="478" spans="2:7" ht="15" x14ac:dyDescent="0.25">
      <c r="B478" s="28"/>
      <c r="C478"/>
      <c r="D478"/>
      <c r="E478" s="28"/>
      <c r="F478" s="28"/>
      <c r="G478" s="28"/>
    </row>
    <row r="479" spans="2:7" ht="15" x14ac:dyDescent="0.25">
      <c r="B479" s="28"/>
      <c r="C479"/>
      <c r="D479"/>
      <c r="E479" s="28"/>
      <c r="F479" s="28"/>
      <c r="G479" s="28"/>
    </row>
    <row r="480" spans="2:7" ht="15" x14ac:dyDescent="0.25">
      <c r="B480" s="28"/>
      <c r="C480"/>
      <c r="D480"/>
      <c r="E480" s="28"/>
      <c r="F480" s="28"/>
      <c r="G480" s="28"/>
    </row>
    <row r="481" spans="2:7" ht="15" x14ac:dyDescent="0.25">
      <c r="B481" s="28"/>
      <c r="C481"/>
      <c r="D481"/>
      <c r="E481" s="28"/>
      <c r="F481" s="28"/>
      <c r="G481" s="28"/>
    </row>
    <row r="482" spans="2:7" ht="15" x14ac:dyDescent="0.25">
      <c r="B482" s="28"/>
      <c r="C482"/>
      <c r="D482"/>
      <c r="E482" s="28"/>
      <c r="F482" s="28"/>
      <c r="G482" s="28"/>
    </row>
    <row r="483" spans="2:7" ht="15" x14ac:dyDescent="0.25">
      <c r="B483" s="28"/>
      <c r="C483"/>
      <c r="D483"/>
      <c r="E483" s="28"/>
      <c r="F483" s="28"/>
      <c r="G483" s="28"/>
    </row>
    <row r="484" spans="2:7" ht="15" x14ac:dyDescent="0.25">
      <c r="B484" s="28"/>
      <c r="C484"/>
      <c r="D484"/>
      <c r="E484" s="28"/>
      <c r="F484" s="28"/>
      <c r="G484" s="28"/>
    </row>
    <row r="485" spans="2:7" ht="15" x14ac:dyDescent="0.25">
      <c r="B485" s="28"/>
      <c r="C485"/>
      <c r="D485"/>
      <c r="E485" s="28"/>
      <c r="F485" s="28"/>
      <c r="G485" s="28"/>
    </row>
    <row r="486" spans="2:7" ht="15" x14ac:dyDescent="0.25">
      <c r="B486" s="28"/>
      <c r="C486"/>
      <c r="D486"/>
      <c r="E486" s="28"/>
      <c r="F486" s="28"/>
      <c r="G486" s="28"/>
    </row>
    <row r="487" spans="2:7" ht="15" x14ac:dyDescent="0.25">
      <c r="B487" s="28"/>
      <c r="C487"/>
      <c r="D487"/>
      <c r="E487" s="28"/>
      <c r="F487" s="28"/>
      <c r="G487" s="28"/>
    </row>
    <row r="488" spans="2:7" ht="15" x14ac:dyDescent="0.25">
      <c r="B488" s="28"/>
      <c r="C488"/>
      <c r="D488"/>
      <c r="E488" s="28"/>
      <c r="F488" s="28"/>
      <c r="G488" s="28"/>
    </row>
    <row r="489" spans="2:7" ht="15" x14ac:dyDescent="0.25">
      <c r="B489" s="28"/>
      <c r="C489"/>
      <c r="D489"/>
      <c r="E489" s="28"/>
      <c r="F489" s="28"/>
      <c r="G489" s="28"/>
    </row>
    <row r="490" spans="2:7" ht="15" x14ac:dyDescent="0.25">
      <c r="B490" s="28"/>
      <c r="C490"/>
      <c r="D490"/>
      <c r="E490" s="28"/>
      <c r="F490" s="28"/>
      <c r="G490" s="28"/>
    </row>
    <row r="491" spans="2:7" ht="15" x14ac:dyDescent="0.25">
      <c r="B491" s="28"/>
      <c r="C491"/>
      <c r="D491"/>
      <c r="E491" s="28"/>
      <c r="F491" s="28"/>
      <c r="G491" s="28"/>
    </row>
    <row r="492" spans="2:7" ht="15" x14ac:dyDescent="0.25">
      <c r="B492" s="28"/>
      <c r="C492"/>
      <c r="D492"/>
      <c r="E492" s="28"/>
      <c r="F492" s="28"/>
      <c r="G492" s="28"/>
    </row>
    <row r="493" spans="2:7" ht="15" x14ac:dyDescent="0.25">
      <c r="B493" s="28"/>
      <c r="C493"/>
      <c r="D493"/>
      <c r="E493" s="28"/>
      <c r="F493" s="28"/>
      <c r="G493" s="28"/>
    </row>
    <row r="494" spans="2:7" ht="15" x14ac:dyDescent="0.25">
      <c r="B494" s="28"/>
      <c r="C494"/>
      <c r="D494"/>
      <c r="E494" s="28"/>
      <c r="F494" s="28"/>
      <c r="G494" s="28"/>
    </row>
    <row r="495" spans="2:7" ht="15" x14ac:dyDescent="0.25">
      <c r="B495" s="28"/>
      <c r="C495"/>
      <c r="D495"/>
      <c r="E495" s="28"/>
      <c r="F495" s="28"/>
      <c r="G495" s="28"/>
    </row>
    <row r="496" spans="2:7" ht="15" x14ac:dyDescent="0.25">
      <c r="B496" s="28"/>
      <c r="C496"/>
      <c r="D496"/>
      <c r="E496" s="28"/>
      <c r="F496" s="28"/>
      <c r="G496" s="28"/>
    </row>
    <row r="497" spans="2:7" ht="15" x14ac:dyDescent="0.25">
      <c r="B497" s="28"/>
      <c r="C497"/>
      <c r="D497"/>
      <c r="E497" s="28"/>
      <c r="F497" s="28"/>
      <c r="G497" s="28"/>
    </row>
    <row r="498" spans="2:7" ht="15" x14ac:dyDescent="0.25">
      <c r="B498" s="28"/>
      <c r="C498"/>
      <c r="D498"/>
      <c r="E498" s="28"/>
      <c r="F498" s="28"/>
      <c r="G498" s="28"/>
    </row>
    <row r="499" spans="2:7" ht="15" x14ac:dyDescent="0.25">
      <c r="B499" s="28"/>
      <c r="C499"/>
      <c r="D499"/>
      <c r="E499" s="28"/>
      <c r="F499" s="28"/>
      <c r="G499" s="28"/>
    </row>
    <row r="500" spans="2:7" ht="15" x14ac:dyDescent="0.25">
      <c r="B500" s="28"/>
      <c r="C500"/>
      <c r="D500"/>
      <c r="E500" s="28"/>
      <c r="F500" s="28"/>
      <c r="G500" s="28"/>
    </row>
    <row r="501" spans="2:7" ht="15" x14ac:dyDescent="0.25">
      <c r="B501" s="28"/>
      <c r="C501"/>
      <c r="D501"/>
      <c r="E501" s="28"/>
      <c r="F501" s="28"/>
      <c r="G501" s="28"/>
    </row>
    <row r="502" spans="2:7" ht="15" x14ac:dyDescent="0.25">
      <c r="B502" s="28"/>
      <c r="C502"/>
      <c r="D502"/>
      <c r="E502" s="28"/>
      <c r="F502" s="28"/>
      <c r="G502" s="28"/>
    </row>
    <row r="503" spans="2:7" ht="15" x14ac:dyDescent="0.25">
      <c r="B503" s="28"/>
      <c r="C503"/>
      <c r="D503"/>
      <c r="E503" s="28"/>
      <c r="F503" s="28"/>
      <c r="G503" s="28"/>
    </row>
    <row r="504" spans="2:7" ht="15" x14ac:dyDescent="0.25">
      <c r="B504" s="28"/>
      <c r="C504"/>
      <c r="D504"/>
      <c r="E504" s="28"/>
      <c r="F504" s="28"/>
      <c r="G504" s="28"/>
    </row>
    <row r="505" spans="2:7" ht="15" x14ac:dyDescent="0.25">
      <c r="B505" s="28"/>
      <c r="C505"/>
      <c r="D505"/>
      <c r="E505" s="28"/>
      <c r="F505" s="28"/>
      <c r="G505" s="28"/>
    </row>
    <row r="506" spans="2:7" ht="15" x14ac:dyDescent="0.25">
      <c r="B506" s="28"/>
      <c r="C506"/>
      <c r="D506"/>
      <c r="E506" s="28"/>
      <c r="F506" s="28"/>
      <c r="G506" s="28"/>
    </row>
    <row r="507" spans="2:7" ht="15" x14ac:dyDescent="0.25">
      <c r="B507" s="28"/>
      <c r="C507"/>
      <c r="D507"/>
      <c r="E507" s="28"/>
      <c r="F507" s="28"/>
      <c r="G507" s="28"/>
    </row>
    <row r="508" spans="2:7" ht="15" x14ac:dyDescent="0.25">
      <c r="B508" s="28"/>
      <c r="C508"/>
      <c r="D508"/>
      <c r="E508" s="28"/>
      <c r="F508" s="28"/>
      <c r="G508" s="28"/>
    </row>
    <row r="509" spans="2:7" ht="15" x14ac:dyDescent="0.25">
      <c r="B509" s="28"/>
      <c r="C509"/>
      <c r="D509"/>
      <c r="E509" s="28"/>
      <c r="F509" s="28"/>
      <c r="G509" s="28"/>
    </row>
    <row r="510" spans="2:7" ht="15" x14ac:dyDescent="0.25">
      <c r="B510" s="28"/>
      <c r="C510"/>
      <c r="D510"/>
      <c r="E510" s="28"/>
      <c r="F510" s="28"/>
      <c r="G510" s="28"/>
    </row>
    <row r="511" spans="2:7" ht="15" x14ac:dyDescent="0.25">
      <c r="B511" s="28"/>
      <c r="C511"/>
      <c r="D511"/>
      <c r="E511" s="28"/>
      <c r="F511" s="28"/>
      <c r="G511" s="28"/>
    </row>
    <row r="512" spans="2:7" ht="15" x14ac:dyDescent="0.25">
      <c r="B512" s="28"/>
      <c r="C512"/>
      <c r="D512"/>
      <c r="E512" s="28"/>
      <c r="F512" s="28"/>
      <c r="G512" s="28"/>
    </row>
    <row r="513" spans="2:7" ht="15" x14ac:dyDescent="0.25">
      <c r="B513" s="28"/>
      <c r="C513"/>
      <c r="D513"/>
      <c r="E513" s="28"/>
      <c r="F513" s="28"/>
      <c r="G513" s="28"/>
    </row>
    <row r="514" spans="2:7" ht="15" x14ac:dyDescent="0.25">
      <c r="B514" s="28"/>
      <c r="C514"/>
      <c r="D514"/>
      <c r="E514" s="28"/>
      <c r="F514" s="28"/>
      <c r="G514" s="28"/>
    </row>
    <row r="515" spans="2:7" ht="15" x14ac:dyDescent="0.25">
      <c r="B515" s="28"/>
      <c r="C515"/>
      <c r="D515"/>
      <c r="E515" s="28"/>
      <c r="F515" s="28"/>
      <c r="G515" s="28"/>
    </row>
    <row r="516" spans="2:7" ht="15" x14ac:dyDescent="0.25">
      <c r="B516" s="28"/>
      <c r="C516"/>
      <c r="D516"/>
      <c r="E516" s="28"/>
      <c r="F516" s="28"/>
      <c r="G516" s="28"/>
    </row>
    <row r="517" spans="2:7" ht="15" x14ac:dyDescent="0.25">
      <c r="B517" s="28"/>
      <c r="C517"/>
      <c r="D517"/>
      <c r="E517" s="28"/>
      <c r="F517" s="28"/>
      <c r="G517" s="28"/>
    </row>
    <row r="518" spans="2:7" ht="15" x14ac:dyDescent="0.25">
      <c r="B518" s="28"/>
      <c r="C518"/>
      <c r="D518"/>
      <c r="E518" s="28"/>
      <c r="F518" s="28"/>
      <c r="G518" s="28"/>
    </row>
    <row r="519" spans="2:7" ht="15" x14ac:dyDescent="0.25">
      <c r="B519" s="28"/>
      <c r="C519"/>
      <c r="D519"/>
      <c r="E519" s="28"/>
      <c r="F519" s="28"/>
      <c r="G519" s="28"/>
    </row>
    <row r="520" spans="2:7" ht="15" x14ac:dyDescent="0.25">
      <c r="B520" s="28"/>
      <c r="C520"/>
      <c r="D520"/>
      <c r="E520" s="28"/>
      <c r="F520" s="28"/>
      <c r="G520" s="28"/>
    </row>
    <row r="521" spans="2:7" ht="15" x14ac:dyDescent="0.25">
      <c r="B521" s="28"/>
      <c r="C521"/>
      <c r="D521"/>
      <c r="E521" s="28"/>
      <c r="F521" s="28"/>
      <c r="G521" s="28"/>
    </row>
    <row r="522" spans="2:7" ht="15" x14ac:dyDescent="0.25">
      <c r="B522" s="28"/>
      <c r="C522"/>
      <c r="D522"/>
      <c r="E522" s="28"/>
      <c r="F522" s="28"/>
      <c r="G522" s="28"/>
    </row>
    <row r="523" spans="2:7" ht="15" x14ac:dyDescent="0.25">
      <c r="B523" s="28"/>
      <c r="C523"/>
      <c r="D523"/>
      <c r="E523" s="28"/>
      <c r="F523" s="28"/>
      <c r="G523" s="28"/>
    </row>
    <row r="524" spans="2:7" ht="15" x14ac:dyDescent="0.25">
      <c r="B524" s="28"/>
      <c r="C524"/>
      <c r="D524"/>
      <c r="E524" s="28"/>
      <c r="F524" s="28"/>
      <c r="G524" s="28"/>
    </row>
    <row r="525" spans="2:7" ht="15" x14ac:dyDescent="0.25">
      <c r="B525" s="28"/>
      <c r="C525"/>
      <c r="D525"/>
      <c r="E525" s="28"/>
      <c r="F525" s="28"/>
      <c r="G525" s="28"/>
    </row>
    <row r="526" spans="2:7" ht="15" x14ac:dyDescent="0.25">
      <c r="B526" s="28"/>
      <c r="C526"/>
      <c r="D526"/>
      <c r="E526" s="28"/>
      <c r="F526" s="28"/>
      <c r="G526" s="28"/>
    </row>
    <row r="527" spans="2:7" ht="15" x14ac:dyDescent="0.25">
      <c r="B527" s="28"/>
      <c r="C527"/>
      <c r="D527"/>
      <c r="E527" s="28"/>
      <c r="F527" s="28"/>
      <c r="G527" s="28"/>
    </row>
    <row r="528" spans="2:7" ht="15" x14ac:dyDescent="0.25">
      <c r="B528" s="28"/>
      <c r="C528"/>
      <c r="D528"/>
      <c r="E528" s="28"/>
      <c r="F528" s="28"/>
      <c r="G528" s="28"/>
    </row>
    <row r="529" spans="2:7" ht="15" x14ac:dyDescent="0.25">
      <c r="B529" s="28"/>
      <c r="C529"/>
      <c r="D529"/>
      <c r="E529" s="28"/>
      <c r="F529" s="28"/>
      <c r="G529" s="28"/>
    </row>
    <row r="530" spans="2:7" ht="15" x14ac:dyDescent="0.25">
      <c r="B530" s="28"/>
      <c r="C530"/>
      <c r="D530"/>
      <c r="E530" s="28"/>
      <c r="F530" s="28"/>
      <c r="G530" s="28"/>
    </row>
    <row r="531" spans="2:7" ht="15" x14ac:dyDescent="0.25">
      <c r="B531" s="28"/>
      <c r="C531"/>
      <c r="D531"/>
      <c r="E531" s="28"/>
      <c r="F531" s="28"/>
      <c r="G531" s="28"/>
    </row>
    <row r="532" spans="2:7" ht="15" x14ac:dyDescent="0.25">
      <c r="B532" s="28"/>
      <c r="C532"/>
      <c r="D532"/>
      <c r="E532" s="28"/>
      <c r="F532" s="28"/>
      <c r="G532" s="28"/>
    </row>
    <row r="533" spans="2:7" ht="15" x14ac:dyDescent="0.25">
      <c r="B533" s="28"/>
      <c r="C533"/>
      <c r="D533"/>
      <c r="E533" s="28"/>
      <c r="F533" s="28"/>
      <c r="G533" s="28"/>
    </row>
    <row r="534" spans="2:7" ht="15" x14ac:dyDescent="0.25">
      <c r="B534" s="28"/>
      <c r="C534"/>
      <c r="D534"/>
      <c r="E534" s="28"/>
      <c r="F534" s="28"/>
      <c r="G534" s="28"/>
    </row>
    <row r="535" spans="2:7" ht="15" x14ac:dyDescent="0.25">
      <c r="B535" s="28"/>
      <c r="C535"/>
      <c r="D535"/>
      <c r="E535" s="28"/>
      <c r="F535" s="28"/>
      <c r="G535" s="28"/>
    </row>
    <row r="536" spans="2:7" ht="15" x14ac:dyDescent="0.25">
      <c r="B536" s="28"/>
      <c r="C536"/>
      <c r="D536"/>
      <c r="E536" s="28"/>
      <c r="F536" s="28"/>
      <c r="G536" s="28"/>
    </row>
    <row r="537" spans="2:7" ht="15" x14ac:dyDescent="0.25">
      <c r="B537" s="28"/>
      <c r="C537"/>
      <c r="D537"/>
      <c r="E537" s="28"/>
      <c r="F537" s="28"/>
      <c r="G537" s="28"/>
    </row>
    <row r="538" spans="2:7" ht="15" x14ac:dyDescent="0.25">
      <c r="B538" s="28"/>
      <c r="C538"/>
      <c r="D538"/>
      <c r="E538" s="28"/>
      <c r="F538" s="28"/>
      <c r="G538" s="28"/>
    </row>
    <row r="539" spans="2:7" ht="15" x14ac:dyDescent="0.25">
      <c r="B539" s="28"/>
      <c r="C539"/>
      <c r="D539"/>
      <c r="E539" s="28"/>
      <c r="F539" s="28"/>
      <c r="G539" s="28"/>
    </row>
    <row r="540" spans="2:7" ht="15" x14ac:dyDescent="0.25">
      <c r="B540" s="28"/>
      <c r="C540"/>
      <c r="D540"/>
      <c r="E540" s="28"/>
      <c r="F540" s="28"/>
      <c r="G540" s="28"/>
    </row>
    <row r="541" spans="2:7" ht="15" x14ac:dyDescent="0.25">
      <c r="B541" s="28"/>
      <c r="C541"/>
      <c r="D541"/>
      <c r="E541" s="28"/>
      <c r="F541" s="28"/>
      <c r="G541" s="28"/>
    </row>
    <row r="542" spans="2:7" ht="15" x14ac:dyDescent="0.25">
      <c r="B542" s="28"/>
      <c r="C542"/>
      <c r="D542"/>
      <c r="E542" s="28"/>
      <c r="F542" s="28"/>
      <c r="G542" s="28"/>
    </row>
    <row r="543" spans="2:7" ht="15" x14ac:dyDescent="0.25">
      <c r="B543" s="28"/>
      <c r="C543"/>
      <c r="D543"/>
      <c r="E543" s="28"/>
      <c r="F543" s="28"/>
      <c r="G543" s="28"/>
    </row>
    <row r="544" spans="2:7" ht="15" x14ac:dyDescent="0.25">
      <c r="B544" s="28"/>
      <c r="C544"/>
      <c r="D544"/>
      <c r="E544" s="28"/>
      <c r="F544" s="28"/>
      <c r="G544" s="28"/>
    </row>
    <row r="545" spans="2:7" ht="15" x14ac:dyDescent="0.25">
      <c r="B545" s="28"/>
      <c r="C545"/>
      <c r="D545"/>
      <c r="E545" s="28"/>
      <c r="F545" s="28"/>
      <c r="G545" s="28"/>
    </row>
    <row r="546" spans="2:7" ht="15" x14ac:dyDescent="0.25">
      <c r="B546" s="28"/>
      <c r="C546"/>
      <c r="D546"/>
      <c r="E546" s="28"/>
      <c r="F546" s="28"/>
      <c r="G546" s="28"/>
    </row>
    <row r="547" spans="2:7" ht="15" x14ac:dyDescent="0.25">
      <c r="B547" s="28"/>
      <c r="C547"/>
      <c r="D547"/>
      <c r="E547" s="28"/>
      <c r="F547" s="28"/>
      <c r="G547" s="28"/>
    </row>
    <row r="548" spans="2:7" ht="15" x14ac:dyDescent="0.25">
      <c r="B548" s="28"/>
      <c r="C548"/>
      <c r="D548"/>
      <c r="E548" s="28"/>
      <c r="F548" s="28"/>
      <c r="G548" s="28"/>
    </row>
    <row r="549" spans="2:7" ht="15" x14ac:dyDescent="0.25">
      <c r="B549" s="28"/>
      <c r="C549"/>
      <c r="D549"/>
      <c r="E549" s="28"/>
      <c r="F549" s="28"/>
      <c r="G549" s="28"/>
    </row>
    <row r="550" spans="2:7" ht="15" x14ac:dyDescent="0.25">
      <c r="B550" s="28"/>
      <c r="C550"/>
      <c r="D550"/>
      <c r="E550" s="28"/>
      <c r="F550" s="28"/>
      <c r="G550" s="28"/>
    </row>
    <row r="551" spans="2:7" ht="15" x14ac:dyDescent="0.25">
      <c r="B551" s="28"/>
      <c r="C551"/>
      <c r="D551"/>
      <c r="E551" s="28"/>
      <c r="F551" s="28"/>
      <c r="G551" s="28"/>
    </row>
    <row r="552" spans="2:7" ht="15" x14ac:dyDescent="0.25">
      <c r="B552" s="28"/>
      <c r="C552"/>
      <c r="D552"/>
      <c r="E552" s="28"/>
      <c r="F552" s="28"/>
      <c r="G552" s="28"/>
    </row>
    <row r="553" spans="2:7" ht="15" x14ac:dyDescent="0.25">
      <c r="B553" s="28"/>
      <c r="C553"/>
      <c r="D553"/>
      <c r="E553" s="28"/>
      <c r="F553" s="28"/>
      <c r="G553" s="28"/>
    </row>
    <row r="554" spans="2:7" ht="15" x14ac:dyDescent="0.25">
      <c r="B554" s="28"/>
      <c r="C554"/>
      <c r="D554"/>
      <c r="E554" s="28"/>
      <c r="F554" s="28"/>
      <c r="G554" s="28"/>
    </row>
    <row r="555" spans="2:7" ht="15" x14ac:dyDescent="0.25">
      <c r="B555" s="28"/>
      <c r="C555"/>
      <c r="D555"/>
      <c r="E555" s="28"/>
      <c r="F555" s="28"/>
      <c r="G555" s="28"/>
    </row>
    <row r="556" spans="2:7" ht="15" x14ac:dyDescent="0.25">
      <c r="B556" s="28"/>
      <c r="C556"/>
      <c r="D556"/>
      <c r="E556" s="28"/>
      <c r="F556" s="28"/>
      <c r="G556" s="28"/>
    </row>
    <row r="557" spans="2:7" ht="15" x14ac:dyDescent="0.25">
      <c r="B557" s="28"/>
      <c r="C557"/>
      <c r="D557"/>
      <c r="E557" s="28"/>
      <c r="F557" s="28"/>
      <c r="G557" s="28"/>
    </row>
    <row r="558" spans="2:7" ht="15" x14ac:dyDescent="0.25">
      <c r="B558" s="28"/>
      <c r="C558"/>
      <c r="D558"/>
      <c r="E558" s="28"/>
      <c r="F558" s="28"/>
      <c r="G558" s="28"/>
    </row>
    <row r="559" spans="2:7" ht="15" x14ac:dyDescent="0.25">
      <c r="B559" s="28"/>
      <c r="C559"/>
      <c r="D559"/>
      <c r="E559" s="28"/>
      <c r="F559" s="28"/>
      <c r="G559" s="28"/>
    </row>
    <row r="560" spans="2:7" ht="15" x14ac:dyDescent="0.25">
      <c r="B560" s="28"/>
      <c r="C560"/>
      <c r="D560"/>
      <c r="E560" s="28"/>
      <c r="F560" s="28"/>
      <c r="G560" s="28"/>
    </row>
    <row r="561" spans="2:7" ht="15" x14ac:dyDescent="0.25">
      <c r="B561" s="28"/>
      <c r="C561"/>
      <c r="D561"/>
      <c r="E561" s="28"/>
      <c r="F561" s="28"/>
      <c r="G561" s="28"/>
    </row>
    <row r="562" spans="2:7" ht="15" x14ac:dyDescent="0.25">
      <c r="B562" s="28"/>
      <c r="C562"/>
      <c r="D562"/>
      <c r="E562" s="28"/>
      <c r="F562" s="28"/>
      <c r="G562" s="28"/>
    </row>
    <row r="563" spans="2:7" ht="15" x14ac:dyDescent="0.25">
      <c r="B563" s="28"/>
      <c r="C563"/>
      <c r="D563"/>
      <c r="E563" s="28"/>
      <c r="F563" s="28"/>
      <c r="G563" s="28"/>
    </row>
    <row r="564" spans="2:7" ht="15" x14ac:dyDescent="0.25">
      <c r="B564" s="28"/>
      <c r="C564"/>
      <c r="D564"/>
      <c r="E564" s="28"/>
      <c r="F564" s="28"/>
      <c r="G564" s="28"/>
    </row>
    <row r="565" spans="2:7" ht="15" x14ac:dyDescent="0.25">
      <c r="B565" s="28"/>
      <c r="C565"/>
      <c r="D565"/>
      <c r="E565" s="28"/>
      <c r="F565" s="28"/>
      <c r="G565" s="28"/>
    </row>
    <row r="566" spans="2:7" ht="15" x14ac:dyDescent="0.25">
      <c r="B566" s="28"/>
      <c r="C566"/>
      <c r="D566"/>
      <c r="E566" s="28"/>
      <c r="F566" s="28"/>
      <c r="G566" s="28"/>
    </row>
    <row r="567" spans="2:7" ht="15" x14ac:dyDescent="0.25">
      <c r="B567" s="28"/>
      <c r="C567"/>
      <c r="D567"/>
      <c r="E567" s="28"/>
      <c r="F567" s="28"/>
      <c r="G567" s="28"/>
    </row>
    <row r="568" spans="2:7" ht="15" x14ac:dyDescent="0.25">
      <c r="B568" s="28"/>
      <c r="C568"/>
      <c r="D568"/>
      <c r="E568" s="28"/>
      <c r="F568" s="28"/>
      <c r="G568" s="28"/>
    </row>
    <row r="569" spans="2:7" ht="15" x14ac:dyDescent="0.25">
      <c r="B569" s="28"/>
      <c r="C569"/>
      <c r="D569"/>
      <c r="E569" s="28"/>
      <c r="F569" s="28"/>
      <c r="G569" s="28"/>
    </row>
    <row r="570" spans="2:7" ht="15" x14ac:dyDescent="0.25">
      <c r="B570" s="28"/>
      <c r="C570"/>
      <c r="D570"/>
      <c r="E570" s="28"/>
      <c r="F570" s="28"/>
      <c r="G570" s="28"/>
    </row>
    <row r="571" spans="2:7" ht="15" x14ac:dyDescent="0.25">
      <c r="B571" s="28"/>
      <c r="C571"/>
      <c r="D571"/>
      <c r="E571" s="28"/>
      <c r="F571" s="28"/>
      <c r="G571" s="28"/>
    </row>
    <row r="572" spans="2:7" ht="15" x14ac:dyDescent="0.25">
      <c r="B572" s="28"/>
      <c r="C572"/>
      <c r="D572"/>
      <c r="E572" s="28"/>
      <c r="F572" s="28"/>
      <c r="G572" s="28"/>
    </row>
    <row r="573" spans="2:7" ht="15" x14ac:dyDescent="0.25">
      <c r="B573" s="28"/>
      <c r="C573"/>
      <c r="D573"/>
      <c r="E573" s="28"/>
      <c r="F573" s="28"/>
      <c r="G573" s="28"/>
    </row>
    <row r="574" spans="2:7" ht="15" x14ac:dyDescent="0.25">
      <c r="B574" s="28"/>
      <c r="C574"/>
      <c r="D574"/>
      <c r="E574" s="28"/>
      <c r="F574" s="28"/>
      <c r="G574" s="28"/>
    </row>
    <row r="575" spans="2:7" ht="15" x14ac:dyDescent="0.25">
      <c r="B575" s="28"/>
      <c r="C575"/>
      <c r="D575"/>
      <c r="E575" s="28"/>
      <c r="F575" s="28"/>
      <c r="G575" s="28"/>
    </row>
    <row r="576" spans="2:7" ht="15" x14ac:dyDescent="0.25">
      <c r="B576" s="28"/>
      <c r="C576"/>
      <c r="D576"/>
      <c r="E576" s="28"/>
      <c r="F576" s="28"/>
      <c r="G576" s="28"/>
    </row>
    <row r="577" spans="2:7" ht="15" x14ac:dyDescent="0.25">
      <c r="B577" s="28"/>
      <c r="C577"/>
      <c r="D577"/>
      <c r="E577" s="28"/>
      <c r="F577" s="28"/>
      <c r="G577" s="28"/>
    </row>
    <row r="578" spans="2:7" ht="15" x14ac:dyDescent="0.25">
      <c r="B578" s="28"/>
      <c r="C578"/>
      <c r="D578"/>
      <c r="E578" s="28"/>
      <c r="F578" s="28"/>
      <c r="G578" s="28"/>
    </row>
    <row r="579" spans="2:7" ht="15" x14ac:dyDescent="0.25">
      <c r="B579" s="28"/>
      <c r="C579"/>
      <c r="D579"/>
      <c r="E579" s="28"/>
      <c r="F579" s="28"/>
      <c r="G579" s="28"/>
    </row>
    <row r="580" spans="2:7" ht="15" x14ac:dyDescent="0.25">
      <c r="B580" s="28"/>
      <c r="C580"/>
      <c r="D580"/>
      <c r="E580" s="28"/>
      <c r="F580" s="28"/>
      <c r="G580" s="28"/>
    </row>
    <row r="581" spans="2:7" ht="15" x14ac:dyDescent="0.25">
      <c r="B581" s="28"/>
      <c r="C581"/>
      <c r="D581"/>
      <c r="E581" s="28"/>
      <c r="F581" s="28"/>
      <c r="G581" s="28"/>
    </row>
    <row r="582" spans="2:7" ht="15" x14ac:dyDescent="0.25">
      <c r="B582" s="28"/>
      <c r="C582"/>
      <c r="D582"/>
      <c r="E582" s="28"/>
      <c r="F582" s="28"/>
      <c r="G582" s="28"/>
    </row>
    <row r="583" spans="2:7" ht="15" x14ac:dyDescent="0.25">
      <c r="B583" s="28"/>
      <c r="C583"/>
      <c r="D583"/>
      <c r="E583" s="28"/>
      <c r="F583" s="28"/>
      <c r="G583" s="28"/>
    </row>
    <row r="584" spans="2:7" ht="15" x14ac:dyDescent="0.25">
      <c r="B584" s="28"/>
      <c r="C584"/>
      <c r="D584"/>
      <c r="E584" s="28"/>
      <c r="F584" s="28"/>
      <c r="G584" s="28"/>
    </row>
    <row r="585" spans="2:7" ht="15" x14ac:dyDescent="0.25">
      <c r="B585" s="28"/>
      <c r="C585"/>
      <c r="D585"/>
      <c r="E585" s="28"/>
      <c r="F585" s="28"/>
      <c r="G585" s="28"/>
    </row>
    <row r="586" spans="2:7" ht="15" x14ac:dyDescent="0.25">
      <c r="B586" s="28"/>
      <c r="C586"/>
      <c r="D586"/>
      <c r="E586" s="28"/>
      <c r="F586" s="28"/>
      <c r="G586" s="28"/>
    </row>
    <row r="587" spans="2:7" ht="15" x14ac:dyDescent="0.25">
      <c r="B587" s="28"/>
      <c r="C587"/>
      <c r="D587"/>
      <c r="E587" s="28"/>
      <c r="F587" s="28"/>
      <c r="G587" s="28"/>
    </row>
    <row r="588" spans="2:7" ht="15" x14ac:dyDescent="0.25">
      <c r="B588" s="28"/>
      <c r="C588"/>
      <c r="D588"/>
      <c r="E588" s="28"/>
      <c r="F588" s="28"/>
      <c r="G588" s="28"/>
    </row>
    <row r="589" spans="2:7" ht="15" x14ac:dyDescent="0.25">
      <c r="B589" s="28"/>
      <c r="C589"/>
      <c r="D589"/>
      <c r="E589" s="28"/>
      <c r="F589" s="28"/>
      <c r="G589" s="28"/>
    </row>
    <row r="590" spans="2:7" ht="15" x14ac:dyDescent="0.25">
      <c r="B590" s="28"/>
      <c r="C590"/>
      <c r="D590"/>
      <c r="E590" s="28"/>
      <c r="F590" s="28"/>
      <c r="G590" s="28"/>
    </row>
    <row r="591" spans="2:7" ht="15" x14ac:dyDescent="0.25">
      <c r="B591" s="28"/>
      <c r="C591"/>
      <c r="D591"/>
      <c r="E591" s="28"/>
      <c r="F591" s="28"/>
      <c r="G591" s="28"/>
    </row>
    <row r="592" spans="2:7" ht="15" x14ac:dyDescent="0.25">
      <c r="B592" s="28"/>
      <c r="C592"/>
      <c r="D592"/>
      <c r="E592" s="28"/>
      <c r="F592" s="28"/>
      <c r="G592" s="28"/>
    </row>
    <row r="593" spans="2:7" ht="15" x14ac:dyDescent="0.25">
      <c r="B593" s="28"/>
      <c r="C593"/>
      <c r="D593"/>
      <c r="E593" s="28"/>
      <c r="F593" s="28"/>
      <c r="G593" s="28"/>
    </row>
    <row r="594" spans="2:7" ht="15" x14ac:dyDescent="0.25">
      <c r="B594" s="28"/>
      <c r="C594"/>
      <c r="D594"/>
      <c r="E594" s="28"/>
      <c r="F594" s="28"/>
      <c r="G594" s="28"/>
    </row>
    <row r="595" spans="2:7" ht="15" x14ac:dyDescent="0.25">
      <c r="B595" s="28"/>
      <c r="C595"/>
      <c r="D595"/>
      <c r="E595" s="28"/>
      <c r="F595" s="28"/>
      <c r="G595" s="28"/>
    </row>
    <row r="596" spans="2:7" ht="15" x14ac:dyDescent="0.25">
      <c r="B596" s="28"/>
      <c r="C596"/>
      <c r="D596"/>
      <c r="E596" s="28"/>
      <c r="F596" s="28"/>
      <c r="G596" s="28"/>
    </row>
    <row r="597" spans="2:7" ht="15" x14ac:dyDescent="0.25">
      <c r="B597" s="28"/>
      <c r="C597"/>
      <c r="D597"/>
      <c r="E597" s="28"/>
      <c r="F597" s="28"/>
      <c r="G597" s="28"/>
    </row>
    <row r="598" spans="2:7" ht="15" x14ac:dyDescent="0.25">
      <c r="B598" s="28"/>
      <c r="C598"/>
      <c r="D598"/>
      <c r="E598" s="28"/>
      <c r="F598" s="28"/>
      <c r="G598" s="28"/>
    </row>
    <row r="599" spans="2:7" ht="15" x14ac:dyDescent="0.25">
      <c r="B599" s="28"/>
      <c r="C599"/>
      <c r="D599"/>
      <c r="E599" s="28"/>
      <c r="F599" s="28"/>
      <c r="G599" s="28"/>
    </row>
    <row r="600" spans="2:7" ht="15" x14ac:dyDescent="0.25">
      <c r="B600" s="28"/>
      <c r="C600"/>
      <c r="D600"/>
      <c r="E600" s="28"/>
      <c r="F600" s="28"/>
      <c r="G600" s="28"/>
    </row>
    <row r="601" spans="2:7" ht="15" x14ac:dyDescent="0.25">
      <c r="B601" s="28"/>
      <c r="C601"/>
      <c r="D601"/>
      <c r="E601" s="28"/>
      <c r="F601" s="28"/>
      <c r="G601" s="28"/>
    </row>
    <row r="602" spans="2:7" ht="15" x14ac:dyDescent="0.25">
      <c r="B602" s="28"/>
      <c r="C602"/>
      <c r="D602"/>
      <c r="E602" s="28"/>
      <c r="F602" s="28"/>
      <c r="G602" s="28"/>
    </row>
    <row r="603" spans="2:7" ht="15" x14ac:dyDescent="0.25">
      <c r="B603" s="28"/>
      <c r="C603"/>
      <c r="D603"/>
      <c r="E603" s="28"/>
      <c r="F603" s="28"/>
      <c r="G603" s="28"/>
    </row>
    <row r="604" spans="2:7" ht="15" x14ac:dyDescent="0.25">
      <c r="B604" s="28"/>
      <c r="C604"/>
      <c r="D604"/>
      <c r="E604" s="28"/>
      <c r="F604" s="28"/>
      <c r="G604" s="28"/>
    </row>
    <row r="605" spans="2:7" ht="15" x14ac:dyDescent="0.25">
      <c r="B605" s="28"/>
      <c r="C605"/>
      <c r="D605"/>
      <c r="E605" s="28"/>
      <c r="F605" s="28"/>
      <c r="G605" s="28"/>
    </row>
    <row r="606" spans="2:7" ht="15" x14ac:dyDescent="0.25">
      <c r="B606" s="28"/>
      <c r="C606"/>
      <c r="D606"/>
      <c r="E606" s="28"/>
      <c r="F606" s="28"/>
      <c r="G606" s="28"/>
    </row>
    <row r="607" spans="2:7" ht="15" x14ac:dyDescent="0.25">
      <c r="B607" s="28"/>
      <c r="C607"/>
      <c r="D607"/>
      <c r="E607" s="28"/>
      <c r="F607" s="28"/>
      <c r="G607" s="28"/>
    </row>
    <row r="608" spans="2:7" ht="15" x14ac:dyDescent="0.25">
      <c r="B608" s="28"/>
      <c r="C608"/>
      <c r="D608"/>
      <c r="E608" s="28"/>
      <c r="F608" s="28"/>
      <c r="G608" s="28"/>
    </row>
    <row r="609" spans="2:7" ht="15" x14ac:dyDescent="0.25">
      <c r="B609" s="28"/>
      <c r="C609"/>
      <c r="D609"/>
      <c r="E609" s="28"/>
      <c r="F609" s="28"/>
      <c r="G609" s="28"/>
    </row>
    <row r="610" spans="2:7" ht="15" x14ac:dyDescent="0.25">
      <c r="B610" s="28"/>
      <c r="C610"/>
      <c r="D610"/>
      <c r="E610" s="28"/>
      <c r="F610" s="28"/>
      <c r="G610" s="28"/>
    </row>
    <row r="611" spans="2:7" ht="15" x14ac:dyDescent="0.25">
      <c r="B611" s="28"/>
      <c r="C611"/>
      <c r="D611"/>
      <c r="E611" s="28"/>
      <c r="F611" s="28"/>
      <c r="G611" s="28"/>
    </row>
    <row r="612" spans="2:7" ht="15" x14ac:dyDescent="0.25">
      <c r="B612" s="28"/>
      <c r="C612"/>
      <c r="D612"/>
      <c r="E612" s="28"/>
      <c r="F612" s="28"/>
      <c r="G612" s="28"/>
    </row>
    <row r="613" spans="2:7" ht="15" x14ac:dyDescent="0.25">
      <c r="B613" s="28"/>
      <c r="C613"/>
      <c r="D613"/>
      <c r="E613" s="28"/>
      <c r="F613" s="28"/>
      <c r="G613" s="28"/>
    </row>
    <row r="614" spans="2:7" ht="15" x14ac:dyDescent="0.25">
      <c r="B614" s="28"/>
      <c r="C614"/>
      <c r="D614"/>
      <c r="E614" s="28"/>
      <c r="F614" s="28"/>
      <c r="G614" s="28"/>
    </row>
    <row r="615" spans="2:7" ht="15" x14ac:dyDescent="0.25">
      <c r="B615" s="28"/>
      <c r="C615"/>
      <c r="D615"/>
      <c r="E615" s="28"/>
      <c r="F615" s="28"/>
      <c r="G615" s="28"/>
    </row>
    <row r="616" spans="2:7" ht="15" x14ac:dyDescent="0.25">
      <c r="B616" s="28"/>
      <c r="C616"/>
      <c r="D616"/>
      <c r="E616" s="28"/>
      <c r="F616" s="28"/>
      <c r="G616" s="28"/>
    </row>
    <row r="617" spans="2:7" ht="15" x14ac:dyDescent="0.25">
      <c r="B617" s="28"/>
      <c r="C617"/>
      <c r="D617"/>
      <c r="E617" s="28"/>
      <c r="F617" s="28"/>
      <c r="G617" s="28"/>
    </row>
    <row r="618" spans="2:7" ht="15" x14ac:dyDescent="0.25">
      <c r="B618" s="28"/>
      <c r="C618"/>
      <c r="D618"/>
      <c r="E618" s="28"/>
      <c r="F618" s="28"/>
      <c r="G618" s="28"/>
    </row>
    <row r="619" spans="2:7" ht="15" x14ac:dyDescent="0.25">
      <c r="B619" s="28"/>
      <c r="C619"/>
      <c r="D619"/>
      <c r="E619" s="28"/>
      <c r="F619" s="28"/>
      <c r="G619" s="28"/>
    </row>
    <row r="620" spans="2:7" ht="15" x14ac:dyDescent="0.25">
      <c r="B620" s="28"/>
      <c r="C620"/>
      <c r="D620"/>
      <c r="E620" s="28"/>
      <c r="F620" s="28"/>
      <c r="G620" s="28"/>
    </row>
    <row r="621" spans="2:7" ht="15" x14ac:dyDescent="0.25">
      <c r="B621" s="28"/>
      <c r="C621"/>
      <c r="D621"/>
      <c r="E621" s="28"/>
      <c r="F621" s="28"/>
      <c r="G621" s="28"/>
    </row>
    <row r="622" spans="2:7" ht="15" x14ac:dyDescent="0.25">
      <c r="B622" s="28"/>
      <c r="C622"/>
      <c r="D622"/>
      <c r="E622" s="28"/>
      <c r="F622" s="28"/>
      <c r="G622" s="28"/>
    </row>
    <row r="623" spans="2:7" ht="15" x14ac:dyDescent="0.25">
      <c r="B623" s="28"/>
      <c r="C623"/>
      <c r="D623"/>
      <c r="E623" s="28"/>
      <c r="F623" s="28"/>
      <c r="G623" s="28"/>
    </row>
    <row r="624" spans="2:7" ht="15" x14ac:dyDescent="0.25">
      <c r="B624" s="28"/>
      <c r="C624"/>
      <c r="D624"/>
      <c r="E624" s="28"/>
      <c r="F624" s="28"/>
      <c r="G624" s="28"/>
    </row>
    <row r="625" spans="2:7" ht="15" x14ac:dyDescent="0.25">
      <c r="B625" s="28"/>
      <c r="C625"/>
      <c r="D625"/>
      <c r="E625" s="28"/>
      <c r="F625" s="28"/>
      <c r="G625" s="28"/>
    </row>
    <row r="626" spans="2:7" ht="15" x14ac:dyDescent="0.25">
      <c r="B626" s="28"/>
      <c r="C626"/>
      <c r="D626"/>
      <c r="E626" s="28"/>
      <c r="F626" s="28"/>
      <c r="G626" s="28"/>
    </row>
    <row r="627" spans="2:7" ht="15" x14ac:dyDescent="0.25">
      <c r="B627" s="28"/>
      <c r="C627"/>
      <c r="D627"/>
      <c r="E627" s="28"/>
      <c r="F627" s="28"/>
      <c r="G627" s="28"/>
    </row>
    <row r="628" spans="2:7" ht="15" x14ac:dyDescent="0.25">
      <c r="B628" s="28"/>
      <c r="C628"/>
      <c r="D628"/>
      <c r="E628" s="28"/>
      <c r="F628" s="28"/>
      <c r="G628" s="28"/>
    </row>
    <row r="629" spans="2:7" ht="15" x14ac:dyDescent="0.25">
      <c r="B629" s="28"/>
      <c r="C629"/>
      <c r="D629"/>
      <c r="E629" s="28"/>
      <c r="F629" s="28"/>
      <c r="G629" s="28"/>
    </row>
    <row r="630" spans="2:7" ht="15" x14ac:dyDescent="0.25">
      <c r="B630" s="28"/>
      <c r="C630"/>
      <c r="D630"/>
      <c r="E630" s="28"/>
      <c r="F630" s="28"/>
      <c r="G630" s="28"/>
    </row>
    <row r="631" spans="2:7" ht="15" x14ac:dyDescent="0.25">
      <c r="B631" s="28"/>
      <c r="C631"/>
      <c r="D631"/>
      <c r="E631" s="28"/>
      <c r="F631" s="28"/>
      <c r="G631" s="28"/>
    </row>
    <row r="632" spans="2:7" ht="15" x14ac:dyDescent="0.25">
      <c r="B632" s="28"/>
      <c r="C632"/>
      <c r="D632"/>
      <c r="E632" s="28"/>
      <c r="F632" s="28"/>
      <c r="G632" s="28"/>
    </row>
    <row r="633" spans="2:7" ht="15" x14ac:dyDescent="0.25">
      <c r="B633" s="28"/>
      <c r="C633"/>
      <c r="D633"/>
      <c r="E633" s="28"/>
      <c r="F633" s="28"/>
      <c r="G633" s="28"/>
    </row>
    <row r="634" spans="2:7" ht="15" x14ac:dyDescent="0.25">
      <c r="B634" s="28"/>
      <c r="C634"/>
      <c r="D634"/>
      <c r="E634" s="28"/>
      <c r="F634" s="28"/>
      <c r="G634" s="28"/>
    </row>
    <row r="635" spans="2:7" ht="15" x14ac:dyDescent="0.25">
      <c r="B635" s="28"/>
      <c r="C635"/>
      <c r="D635"/>
      <c r="E635" s="28"/>
      <c r="F635" s="28"/>
      <c r="G635" s="28"/>
    </row>
    <row r="636" spans="2:7" ht="15" x14ac:dyDescent="0.25">
      <c r="B636" s="28"/>
      <c r="C636"/>
      <c r="D636"/>
      <c r="E636" s="28"/>
      <c r="F636" s="28"/>
      <c r="G636" s="28"/>
    </row>
    <row r="637" spans="2:7" ht="15" x14ac:dyDescent="0.25">
      <c r="B637" s="28"/>
      <c r="C637"/>
      <c r="D637"/>
      <c r="E637" s="28"/>
      <c r="F637" s="28"/>
      <c r="G637" s="28"/>
    </row>
    <row r="638" spans="2:7" ht="15" x14ac:dyDescent="0.25">
      <c r="B638" s="28"/>
      <c r="C638"/>
      <c r="D638"/>
      <c r="E638" s="28"/>
      <c r="F638" s="28"/>
      <c r="G638" s="28"/>
    </row>
    <row r="639" spans="2:7" ht="15" x14ac:dyDescent="0.25">
      <c r="B639" s="28"/>
      <c r="C639"/>
      <c r="D639"/>
      <c r="E639" s="28"/>
      <c r="F639" s="28"/>
      <c r="G639" s="28"/>
    </row>
    <row r="640" spans="2:7" ht="15" x14ac:dyDescent="0.25">
      <c r="B640" s="28"/>
      <c r="C640"/>
      <c r="D640"/>
      <c r="E640" s="28"/>
      <c r="F640" s="28"/>
      <c r="G640" s="28"/>
    </row>
    <row r="641" spans="2:7" ht="15" x14ac:dyDescent="0.25">
      <c r="B641" s="28"/>
      <c r="C641"/>
      <c r="D641"/>
      <c r="E641" s="28"/>
      <c r="F641" s="28"/>
      <c r="G641" s="28"/>
    </row>
    <row r="642" spans="2:7" ht="15" x14ac:dyDescent="0.25">
      <c r="B642" s="28"/>
      <c r="C642"/>
      <c r="D642"/>
      <c r="E642" s="28"/>
      <c r="F642" s="28"/>
      <c r="G642" s="28"/>
    </row>
    <row r="643" spans="2:7" ht="15" x14ac:dyDescent="0.25">
      <c r="B643" s="28"/>
      <c r="C643"/>
      <c r="D643"/>
      <c r="E643" s="28"/>
      <c r="F643" s="28"/>
      <c r="G643" s="28"/>
    </row>
    <row r="644" spans="2:7" ht="15" x14ac:dyDescent="0.25">
      <c r="B644" s="28"/>
      <c r="C644"/>
      <c r="D644"/>
      <c r="E644" s="28"/>
      <c r="F644" s="28"/>
      <c r="G644" s="28"/>
    </row>
    <row r="645" spans="2:7" ht="15" x14ac:dyDescent="0.25">
      <c r="B645" s="28"/>
      <c r="C645"/>
      <c r="D645"/>
      <c r="E645" s="28"/>
      <c r="F645" s="28"/>
      <c r="G645" s="28"/>
    </row>
    <row r="646" spans="2:7" ht="15" x14ac:dyDescent="0.25">
      <c r="B646" s="28"/>
      <c r="C646"/>
      <c r="D646"/>
      <c r="E646" s="28"/>
      <c r="F646" s="28"/>
      <c r="G646" s="28"/>
    </row>
    <row r="647" spans="2:7" ht="15" x14ac:dyDescent="0.25">
      <c r="B647" s="28"/>
      <c r="C647"/>
      <c r="D647"/>
      <c r="E647" s="28"/>
      <c r="F647" s="28"/>
      <c r="G647" s="28"/>
    </row>
    <row r="648" spans="2:7" ht="15" x14ac:dyDescent="0.25">
      <c r="B648" s="28"/>
      <c r="C648"/>
      <c r="D648"/>
      <c r="E648" s="28"/>
      <c r="F648" s="28"/>
      <c r="G648" s="28"/>
    </row>
    <row r="649" spans="2:7" ht="15" x14ac:dyDescent="0.25">
      <c r="B649" s="28"/>
      <c r="C649"/>
      <c r="D649"/>
      <c r="E649" s="28"/>
      <c r="F649" s="28"/>
      <c r="G649" s="28"/>
    </row>
    <row r="650" spans="2:7" ht="15" x14ac:dyDescent="0.25">
      <c r="B650" s="28"/>
      <c r="C650"/>
      <c r="D650"/>
      <c r="E650" s="28"/>
      <c r="F650" s="28"/>
      <c r="G650" s="28"/>
    </row>
    <row r="651" spans="2:7" ht="15" x14ac:dyDescent="0.25">
      <c r="B651" s="28"/>
      <c r="C651"/>
      <c r="D651"/>
      <c r="E651" s="28"/>
      <c r="F651" s="28"/>
      <c r="G651" s="28"/>
    </row>
    <row r="652" spans="2:7" ht="15" x14ac:dyDescent="0.25">
      <c r="B652" s="28"/>
      <c r="C652"/>
      <c r="D652"/>
      <c r="E652" s="28"/>
      <c r="F652" s="28"/>
      <c r="G652" s="28"/>
    </row>
    <row r="653" spans="2:7" ht="15" x14ac:dyDescent="0.25">
      <c r="B653" s="28"/>
      <c r="C653"/>
      <c r="D653"/>
      <c r="E653" s="28"/>
      <c r="F653" s="28"/>
      <c r="G653" s="28"/>
    </row>
    <row r="654" spans="2:7" ht="15" x14ac:dyDescent="0.25">
      <c r="B654" s="28"/>
      <c r="C654"/>
      <c r="D654"/>
      <c r="E654" s="28"/>
      <c r="F654" s="28"/>
      <c r="G654" s="28"/>
    </row>
    <row r="655" spans="2:7" ht="15" x14ac:dyDescent="0.25">
      <c r="B655" s="28"/>
      <c r="C655"/>
      <c r="D655"/>
      <c r="E655" s="28"/>
      <c r="F655" s="28"/>
      <c r="G655" s="28"/>
    </row>
    <row r="656" spans="2:7" ht="15" x14ac:dyDescent="0.25">
      <c r="B656" s="28"/>
      <c r="C656"/>
      <c r="D656"/>
      <c r="E656" s="28"/>
      <c r="F656" s="28"/>
      <c r="G656" s="28"/>
    </row>
    <row r="657" spans="2:7" ht="15" x14ac:dyDescent="0.25">
      <c r="B657" s="28"/>
      <c r="C657"/>
      <c r="D657"/>
      <c r="E657" s="28"/>
      <c r="F657" s="28"/>
      <c r="G657" s="28"/>
    </row>
    <row r="658" spans="2:7" ht="15" x14ac:dyDescent="0.25">
      <c r="B658" s="28"/>
      <c r="C658"/>
      <c r="D658"/>
      <c r="E658" s="28"/>
      <c r="F658" s="28"/>
      <c r="G658" s="28"/>
    </row>
    <row r="659" spans="2:7" ht="15" x14ac:dyDescent="0.25">
      <c r="B659" s="28"/>
      <c r="C659"/>
      <c r="D659"/>
      <c r="E659" s="28"/>
      <c r="F659" s="28"/>
      <c r="G659" s="28"/>
    </row>
    <row r="660" spans="2:7" ht="15" x14ac:dyDescent="0.25">
      <c r="B660" s="28"/>
      <c r="C660"/>
      <c r="D660"/>
      <c r="E660" s="28"/>
      <c r="F660" s="28"/>
      <c r="G660" s="28"/>
    </row>
    <row r="661" spans="2:7" ht="15" x14ac:dyDescent="0.25">
      <c r="B661" s="28"/>
      <c r="C661"/>
      <c r="D661"/>
      <c r="E661" s="28"/>
      <c r="F661" s="28"/>
      <c r="G661" s="28"/>
    </row>
    <row r="662" spans="2:7" ht="15" x14ac:dyDescent="0.25">
      <c r="B662" s="28"/>
      <c r="C662"/>
      <c r="D662"/>
      <c r="E662" s="28"/>
      <c r="F662" s="28"/>
      <c r="G662" s="28"/>
    </row>
    <row r="663" spans="2:7" ht="15" x14ac:dyDescent="0.25">
      <c r="B663" s="28"/>
      <c r="C663"/>
      <c r="D663"/>
      <c r="E663" s="28"/>
      <c r="F663" s="28"/>
      <c r="G663" s="28"/>
    </row>
    <row r="664" spans="2:7" ht="15" x14ac:dyDescent="0.25">
      <c r="B664" s="28"/>
      <c r="C664"/>
      <c r="D664"/>
      <c r="E664" s="28"/>
      <c r="F664" s="28"/>
      <c r="G664" s="28"/>
    </row>
    <row r="665" spans="2:7" ht="15" x14ac:dyDescent="0.25">
      <c r="B665" s="28"/>
      <c r="C665"/>
      <c r="D665"/>
      <c r="E665" s="28"/>
      <c r="F665" s="28"/>
      <c r="G665" s="28"/>
    </row>
    <row r="666" spans="2:7" ht="15" x14ac:dyDescent="0.25">
      <c r="B666" s="28"/>
      <c r="C666"/>
      <c r="D666"/>
      <c r="E666" s="28"/>
      <c r="F666" s="28"/>
      <c r="G666" s="28"/>
    </row>
    <row r="667" spans="2:7" ht="15" x14ac:dyDescent="0.25">
      <c r="B667" s="28"/>
      <c r="C667"/>
      <c r="D667"/>
      <c r="E667" s="28"/>
      <c r="F667" s="28"/>
      <c r="G667" s="28"/>
    </row>
    <row r="668" spans="2:7" ht="15" x14ac:dyDescent="0.25">
      <c r="B668" s="28"/>
      <c r="C668"/>
      <c r="D668"/>
      <c r="E668" s="28"/>
      <c r="F668" s="28"/>
      <c r="G668" s="28"/>
    </row>
    <row r="669" spans="2:7" ht="15" x14ac:dyDescent="0.25">
      <c r="B669" s="28"/>
      <c r="C669"/>
      <c r="D669"/>
      <c r="E669" s="28"/>
      <c r="F669" s="28"/>
      <c r="G669" s="28"/>
    </row>
    <row r="670" spans="2:7" ht="15" x14ac:dyDescent="0.25">
      <c r="B670" s="28"/>
      <c r="C670"/>
      <c r="D670"/>
      <c r="E670" s="28"/>
      <c r="F670" s="28"/>
      <c r="G670" s="28"/>
    </row>
    <row r="671" spans="2:7" ht="15" x14ac:dyDescent="0.25">
      <c r="B671" s="28"/>
      <c r="C671"/>
      <c r="D671"/>
      <c r="E671" s="28"/>
      <c r="F671" s="28"/>
      <c r="G671" s="28"/>
    </row>
    <row r="672" spans="2:7" ht="15" x14ac:dyDescent="0.25">
      <c r="B672" s="28"/>
      <c r="C672"/>
      <c r="D672"/>
      <c r="E672" s="28"/>
      <c r="F672" s="28"/>
      <c r="G672" s="28"/>
    </row>
    <row r="673" spans="2:7" ht="15" x14ac:dyDescent="0.25">
      <c r="B673" s="28"/>
      <c r="C673"/>
      <c r="D673"/>
      <c r="E673" s="28"/>
      <c r="F673" s="28"/>
      <c r="G673" s="28"/>
    </row>
    <row r="674" spans="2:7" ht="15" x14ac:dyDescent="0.25">
      <c r="B674" s="28"/>
      <c r="C674"/>
      <c r="D674"/>
      <c r="E674" s="28"/>
      <c r="F674" s="28"/>
      <c r="G674" s="28"/>
    </row>
    <row r="675" spans="2:7" ht="15" x14ac:dyDescent="0.25">
      <c r="B675" s="28"/>
      <c r="C675"/>
      <c r="D675"/>
      <c r="E675" s="28"/>
      <c r="F675" s="28"/>
      <c r="G675" s="28"/>
    </row>
    <row r="676" spans="2:7" ht="15" x14ac:dyDescent="0.25">
      <c r="B676" s="28"/>
      <c r="C676"/>
      <c r="D676"/>
      <c r="E676" s="28"/>
      <c r="F676" s="28"/>
      <c r="G676" s="28"/>
    </row>
    <row r="677" spans="2:7" ht="15" x14ac:dyDescent="0.25">
      <c r="B677" s="28"/>
      <c r="C677"/>
      <c r="D677"/>
      <c r="E677" s="28"/>
      <c r="F677" s="28"/>
      <c r="G677" s="28"/>
    </row>
    <row r="678" spans="2:7" ht="15" x14ac:dyDescent="0.25">
      <c r="B678" s="28"/>
      <c r="C678"/>
      <c r="D678"/>
      <c r="E678" s="28"/>
      <c r="F678" s="28"/>
      <c r="G678" s="28"/>
    </row>
    <row r="679" spans="2:7" ht="15" x14ac:dyDescent="0.25">
      <c r="B679" s="28"/>
      <c r="C679"/>
      <c r="D679"/>
      <c r="E679" s="28"/>
      <c r="F679" s="28"/>
      <c r="G679" s="28"/>
    </row>
    <row r="680" spans="2:7" ht="15" x14ac:dyDescent="0.25">
      <c r="B680" s="28"/>
      <c r="C680"/>
      <c r="D680"/>
      <c r="E680" s="28"/>
      <c r="F680" s="28"/>
      <c r="G680" s="28"/>
    </row>
    <row r="681" spans="2:7" ht="15" x14ac:dyDescent="0.25">
      <c r="B681" s="28"/>
      <c r="C681"/>
      <c r="D681"/>
      <c r="E681" s="28"/>
      <c r="F681" s="28"/>
      <c r="G681" s="28"/>
    </row>
    <row r="682" spans="2:7" ht="15" x14ac:dyDescent="0.25">
      <c r="B682" s="28"/>
      <c r="C682"/>
      <c r="D682"/>
      <c r="E682" s="28"/>
      <c r="F682" s="28"/>
      <c r="G682" s="28"/>
    </row>
    <row r="683" spans="2:7" ht="15" x14ac:dyDescent="0.25">
      <c r="B683" s="28"/>
      <c r="C683"/>
      <c r="D683"/>
      <c r="E683" s="28"/>
      <c r="F683" s="28"/>
      <c r="G683" s="28"/>
    </row>
    <row r="684" spans="2:7" ht="15" x14ac:dyDescent="0.25">
      <c r="B684" s="28"/>
      <c r="C684"/>
      <c r="D684"/>
      <c r="E684" s="28"/>
      <c r="F684" s="28"/>
      <c r="G684" s="28"/>
    </row>
    <row r="685" spans="2:7" ht="15" x14ac:dyDescent="0.25">
      <c r="B685" s="28"/>
      <c r="C685"/>
      <c r="D685"/>
      <c r="E685" s="28"/>
      <c r="F685" s="28"/>
      <c r="G685" s="28"/>
    </row>
    <row r="686" spans="2:7" ht="15" x14ac:dyDescent="0.25">
      <c r="B686" s="28"/>
      <c r="C686"/>
      <c r="D686"/>
      <c r="E686" s="28"/>
      <c r="F686" s="28"/>
      <c r="G686" s="28"/>
    </row>
    <row r="687" spans="2:7" ht="15" x14ac:dyDescent="0.25">
      <c r="B687" s="28"/>
      <c r="C687"/>
      <c r="D687"/>
      <c r="E687" s="28"/>
      <c r="F687" s="28"/>
      <c r="G687" s="28"/>
    </row>
    <row r="688" spans="2:7" ht="15" x14ac:dyDescent="0.25">
      <c r="B688" s="28"/>
      <c r="C688"/>
      <c r="D688"/>
      <c r="E688" s="28"/>
      <c r="F688" s="28"/>
      <c r="G688" s="28"/>
    </row>
    <row r="689" spans="2:7" ht="15" x14ac:dyDescent="0.25">
      <c r="B689" s="28"/>
      <c r="C689"/>
      <c r="D689"/>
      <c r="E689" s="28"/>
      <c r="F689" s="28"/>
      <c r="G689" s="28"/>
    </row>
    <row r="690" spans="2:7" ht="15" x14ac:dyDescent="0.25">
      <c r="B690" s="28"/>
      <c r="C690"/>
      <c r="D690"/>
      <c r="E690" s="28"/>
      <c r="F690" s="28"/>
      <c r="G690" s="28"/>
    </row>
    <row r="691" spans="2:7" ht="15" x14ac:dyDescent="0.25">
      <c r="B691" s="28"/>
      <c r="C691"/>
      <c r="D691"/>
      <c r="E691" s="28"/>
      <c r="F691" s="28"/>
      <c r="G691" s="28"/>
    </row>
    <row r="692" spans="2:7" ht="15" x14ac:dyDescent="0.25">
      <c r="B692" s="28"/>
      <c r="C692"/>
      <c r="D692"/>
      <c r="E692" s="28"/>
      <c r="F692" s="28"/>
      <c r="G692" s="28"/>
    </row>
    <row r="693" spans="2:7" ht="15" x14ac:dyDescent="0.25">
      <c r="B693" s="28"/>
      <c r="C693"/>
      <c r="D693"/>
      <c r="E693" s="28"/>
      <c r="F693" s="28"/>
      <c r="G693" s="28"/>
    </row>
    <row r="694" spans="2:7" ht="15" x14ac:dyDescent="0.25">
      <c r="B694" s="28"/>
      <c r="C694"/>
      <c r="D694"/>
      <c r="E694" s="28"/>
      <c r="F694" s="28"/>
      <c r="G694" s="28"/>
    </row>
    <row r="695" spans="2:7" ht="15" x14ac:dyDescent="0.25">
      <c r="B695" s="28"/>
      <c r="C695"/>
      <c r="D695"/>
      <c r="E695" s="28"/>
      <c r="F695" s="28"/>
      <c r="G695" s="28"/>
    </row>
    <row r="696" spans="2:7" ht="15" x14ac:dyDescent="0.25">
      <c r="B696" s="28"/>
      <c r="C696"/>
      <c r="D696"/>
      <c r="E696" s="28"/>
      <c r="F696" s="28"/>
      <c r="G696" s="28"/>
    </row>
    <row r="697" spans="2:7" ht="15" x14ac:dyDescent="0.25">
      <c r="B697" s="28"/>
      <c r="C697"/>
      <c r="D697"/>
      <c r="E697" s="28"/>
      <c r="F697" s="28"/>
      <c r="G697" s="28"/>
    </row>
    <row r="698" spans="2:7" ht="15" x14ac:dyDescent="0.25">
      <c r="B698" s="28"/>
      <c r="C698"/>
      <c r="D698"/>
      <c r="E698" s="28"/>
      <c r="F698" s="28"/>
      <c r="G698" s="28"/>
    </row>
    <row r="699" spans="2:7" ht="15" x14ac:dyDescent="0.25">
      <c r="B699" s="28"/>
      <c r="C699"/>
      <c r="D699"/>
      <c r="E699" s="28"/>
      <c r="F699" s="28"/>
      <c r="G699" s="28"/>
    </row>
    <row r="700" spans="2:7" ht="15" x14ac:dyDescent="0.25">
      <c r="B700" s="28"/>
      <c r="C700"/>
      <c r="D700"/>
      <c r="E700" s="28"/>
      <c r="F700" s="28"/>
      <c r="G700" s="28"/>
    </row>
    <row r="701" spans="2:7" ht="15" x14ac:dyDescent="0.25">
      <c r="B701" s="28"/>
      <c r="C701"/>
      <c r="D701"/>
      <c r="E701" s="28"/>
      <c r="F701" s="28"/>
      <c r="G701" s="28"/>
    </row>
    <row r="702" spans="2:7" ht="15" x14ac:dyDescent="0.25">
      <c r="B702" s="28"/>
      <c r="C702"/>
      <c r="D702"/>
      <c r="E702" s="28"/>
      <c r="F702" s="28"/>
      <c r="G702" s="28"/>
    </row>
  </sheetData>
  <pageMargins left="0.7" right="0.7" top="0.75" bottom="0.75" header="0.3" footer="0.3"/>
  <ignoredErrors>
    <ignoredError sqref="B3:G143" numberStoredAsText="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D750-8025-4EAF-BFE6-857BFD55F61B}">
  <dimension ref="B1:H486"/>
  <sheetViews>
    <sheetView tabSelected="1" workbookViewId="0">
      <selection activeCell="H19" sqref="H19"/>
    </sheetView>
  </sheetViews>
  <sheetFormatPr defaultRowHeight="15.75" x14ac:dyDescent="0.25"/>
  <cols>
    <col min="2" max="2" width="14.28515625" style="27"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38" bestFit="1" customWidth="1"/>
  </cols>
  <sheetData>
    <row r="1" spans="2:8" x14ac:dyDescent="0.25">
      <c r="D1" s="11"/>
    </row>
    <row r="2" spans="2:8" x14ac:dyDescent="0.25">
      <c r="B2" s="30" t="s">
        <v>0</v>
      </c>
      <c r="C2" s="29" t="s">
        <v>1</v>
      </c>
      <c r="D2" s="29" t="s">
        <v>2</v>
      </c>
      <c r="E2" s="30" t="s">
        <v>1184</v>
      </c>
      <c r="F2" s="30" t="s">
        <v>3</v>
      </c>
      <c r="G2" s="30" t="s">
        <v>4</v>
      </c>
      <c r="H2" s="39" t="s">
        <v>1183</v>
      </c>
    </row>
    <row r="3" spans="2:8" x14ac:dyDescent="0.25">
      <c r="B3" s="27" t="s">
        <v>5</v>
      </c>
      <c r="C3" s="10" t="s">
        <v>537</v>
      </c>
      <c r="D3" s="10" t="s">
        <v>538</v>
      </c>
      <c r="E3" s="27" t="s">
        <v>319</v>
      </c>
      <c r="F3" s="27" t="s">
        <v>204</v>
      </c>
      <c r="G3" s="27" t="s">
        <v>29</v>
      </c>
      <c r="H3" s="40">
        <f ca="1">Tabel5[[#This Row],[KEHADIRAN]]/100</f>
        <v>0</v>
      </c>
    </row>
    <row r="4" spans="2:8" x14ac:dyDescent="0.25">
      <c r="B4" s="27" t="s">
        <v>8</v>
      </c>
      <c r="C4" s="10" t="s">
        <v>567</v>
      </c>
      <c r="D4" s="10" t="s">
        <v>568</v>
      </c>
      <c r="E4" s="27" t="s">
        <v>319</v>
      </c>
      <c r="F4" s="27" t="s">
        <v>32</v>
      </c>
      <c r="G4" s="27" t="s">
        <v>158</v>
      </c>
      <c r="H4" s="40">
        <f ca="1">Tabel5[[#This Row],[KEHADIRAN]]/100</f>
        <v>0</v>
      </c>
    </row>
    <row r="5" spans="2:8" x14ac:dyDescent="0.25">
      <c r="B5" s="27" t="s">
        <v>10</v>
      </c>
      <c r="C5" s="10" t="s">
        <v>667</v>
      </c>
      <c r="D5" s="10" t="s">
        <v>668</v>
      </c>
      <c r="E5" s="27" t="s">
        <v>31</v>
      </c>
      <c r="F5" s="27" t="s">
        <v>26</v>
      </c>
      <c r="G5" s="27" t="s">
        <v>199</v>
      </c>
      <c r="H5" s="40">
        <f ca="1">Tabel5[[#This Row],[KEHADIRAN]]/100</f>
        <v>0.98</v>
      </c>
    </row>
    <row r="6" spans="2:8" x14ac:dyDescent="0.25">
      <c r="B6" s="27" t="s">
        <v>12</v>
      </c>
      <c r="C6" s="10" t="s">
        <v>715</v>
      </c>
      <c r="D6" s="10" t="s">
        <v>716</v>
      </c>
      <c r="E6" s="27" t="s">
        <v>319</v>
      </c>
      <c r="F6" s="27" t="s">
        <v>238</v>
      </c>
      <c r="G6" s="27" t="s">
        <v>476</v>
      </c>
      <c r="H6" s="40">
        <f ca="1">Tabel5[[#This Row],[KEHADIRAN]]/100</f>
        <v>0</v>
      </c>
    </row>
    <row r="7" spans="2:8" x14ac:dyDescent="0.25">
      <c r="B7" s="27" t="s">
        <v>14</v>
      </c>
      <c r="C7" s="10" t="s">
        <v>816</v>
      </c>
      <c r="D7" s="10" t="s">
        <v>817</v>
      </c>
      <c r="E7" s="27" t="s">
        <v>319</v>
      </c>
      <c r="F7" s="27" t="s">
        <v>214</v>
      </c>
      <c r="G7" s="27" t="s">
        <v>229</v>
      </c>
      <c r="H7" s="40">
        <f ca="1">Tabel5[[#This Row],[KEHADIRAN]]/100</f>
        <v>0</v>
      </c>
    </row>
    <row r="8" spans="2:8" x14ac:dyDescent="0.25">
      <c r="B8" s="27" t="s">
        <v>16</v>
      </c>
      <c r="C8" s="10" t="s">
        <v>822</v>
      </c>
      <c r="D8" s="10" t="s">
        <v>823</v>
      </c>
      <c r="E8" s="27" t="s">
        <v>319</v>
      </c>
      <c r="F8" s="27" t="s">
        <v>223</v>
      </c>
      <c r="G8" s="27" t="s">
        <v>113</v>
      </c>
      <c r="H8" s="40">
        <f ca="1">Tabel5[[#This Row],[KEHADIRAN]]/100</f>
        <v>0</v>
      </c>
    </row>
    <row r="9" spans="2:8" x14ac:dyDescent="0.25">
      <c r="B9" s="27" t="s">
        <v>18</v>
      </c>
      <c r="C9" s="10" t="s">
        <v>866</v>
      </c>
      <c r="D9" s="10" t="s">
        <v>867</v>
      </c>
      <c r="E9" s="27" t="s">
        <v>31</v>
      </c>
      <c r="F9" s="27" t="s">
        <v>216</v>
      </c>
      <c r="G9" s="27" t="s">
        <v>239</v>
      </c>
      <c r="H9" s="40">
        <f ca="1">Tabel5[[#This Row],[KEHADIRAN]]/100</f>
        <v>0.93</v>
      </c>
    </row>
    <row r="10" spans="2:8" x14ac:dyDescent="0.25">
      <c r="B10" s="27" t="s">
        <v>21</v>
      </c>
      <c r="C10" s="10" t="s">
        <v>895</v>
      </c>
      <c r="D10" s="10" t="s">
        <v>896</v>
      </c>
      <c r="E10" s="27" t="s">
        <v>319</v>
      </c>
      <c r="F10" s="27" t="s">
        <v>216</v>
      </c>
      <c r="G10" s="27" t="s">
        <v>241</v>
      </c>
      <c r="H10" s="40">
        <f ca="1">Tabel5[[#This Row],[KEHADIRAN]]/100</f>
        <v>0</v>
      </c>
    </row>
    <row r="11" spans="2:8" x14ac:dyDescent="0.25">
      <c r="B11" s="27" t="s">
        <v>24</v>
      </c>
      <c r="C11" s="10" t="s">
        <v>913</v>
      </c>
      <c r="D11" s="10" t="s">
        <v>914</v>
      </c>
      <c r="E11" s="27" t="s">
        <v>31</v>
      </c>
      <c r="F11" s="27" t="s">
        <v>26</v>
      </c>
      <c r="G11" s="27" t="s">
        <v>481</v>
      </c>
      <c r="H11" s="40">
        <f ca="1">Tabel5[[#This Row],[KEHADIRAN]]/100</f>
        <v>0.93</v>
      </c>
    </row>
    <row r="12" spans="2:8" x14ac:dyDescent="0.25">
      <c r="B12" s="27" t="s">
        <v>27</v>
      </c>
      <c r="C12" s="10" t="s">
        <v>929</v>
      </c>
      <c r="D12" s="10" t="s">
        <v>930</v>
      </c>
      <c r="E12" s="27" t="s">
        <v>25</v>
      </c>
      <c r="F12" s="27" t="s">
        <v>135</v>
      </c>
      <c r="G12" s="27" t="s">
        <v>143</v>
      </c>
      <c r="H12" s="40">
        <f ca="1">Tabel5[[#This Row],[KEHADIRAN]]/100</f>
        <v>0.9</v>
      </c>
    </row>
    <row r="13" spans="2:8" x14ac:dyDescent="0.25">
      <c r="B13" s="27" t="s">
        <v>30</v>
      </c>
      <c r="C13" s="10" t="s">
        <v>982</v>
      </c>
      <c r="D13" s="10" t="s">
        <v>983</v>
      </c>
      <c r="E13" s="27" t="s">
        <v>25</v>
      </c>
      <c r="F13" s="27" t="s">
        <v>51</v>
      </c>
      <c r="G13" s="27" t="s">
        <v>74</v>
      </c>
      <c r="H13" s="40">
        <f ca="1">Tabel5[[#This Row],[KEHADIRAN]]/100</f>
        <v>0.82</v>
      </c>
    </row>
    <row r="14" spans="2:8" x14ac:dyDescent="0.25">
      <c r="B14" s="27" t="s">
        <v>33</v>
      </c>
      <c r="C14" s="10" t="s">
        <v>1023</v>
      </c>
      <c r="D14" s="10" t="s">
        <v>1024</v>
      </c>
      <c r="E14" s="27" t="s">
        <v>25</v>
      </c>
      <c r="F14" s="27" t="s">
        <v>51</v>
      </c>
      <c r="G14" s="27" t="s">
        <v>241</v>
      </c>
      <c r="H14" s="40">
        <f ca="1">Tabel5[[#This Row],[KEHADIRAN]]/100</f>
        <v>0.86</v>
      </c>
    </row>
    <row r="15" spans="2:8" x14ac:dyDescent="0.25">
      <c r="B15" s="27" t="s">
        <v>35</v>
      </c>
      <c r="C15" s="10" t="s">
        <v>1031</v>
      </c>
      <c r="D15" s="10" t="s">
        <v>825</v>
      </c>
      <c r="E15" s="27" t="s">
        <v>31</v>
      </c>
      <c r="F15" s="27" t="s">
        <v>135</v>
      </c>
      <c r="G15" s="27" t="s">
        <v>121</v>
      </c>
      <c r="H15" s="40">
        <f ca="1">Tabel5[[#This Row],[KEHADIRAN]]/100</f>
        <v>0.91</v>
      </c>
    </row>
    <row r="16" spans="2:8" x14ac:dyDescent="0.25">
      <c r="B16" s="27" t="s">
        <v>37</v>
      </c>
      <c r="C16" s="10" t="s">
        <v>1036</v>
      </c>
      <c r="D16" s="10" t="s">
        <v>1037</v>
      </c>
      <c r="E16" s="27" t="s">
        <v>25</v>
      </c>
      <c r="F16" s="27" t="s">
        <v>51</v>
      </c>
      <c r="G16" s="27" t="s">
        <v>80</v>
      </c>
      <c r="H16" s="40">
        <f ca="1">Tabel5[[#This Row],[KEHADIRAN]]/100</f>
        <v>0.87</v>
      </c>
    </row>
    <row r="17" spans="2:8" x14ac:dyDescent="0.25">
      <c r="B17" s="27" t="s">
        <v>38</v>
      </c>
      <c r="C17" s="10" t="s">
        <v>1079</v>
      </c>
      <c r="D17" s="10" t="s">
        <v>1080</v>
      </c>
      <c r="E17" s="27" t="s">
        <v>31</v>
      </c>
      <c r="F17" s="27" t="s">
        <v>223</v>
      </c>
      <c r="G17" s="27" t="s">
        <v>1081</v>
      </c>
      <c r="H17" s="40">
        <f ca="1">Tabel5[[#This Row],[KEHADIRAN]]/100</f>
        <v>0.87</v>
      </c>
    </row>
    <row r="18" spans="2:8" x14ac:dyDescent="0.25">
      <c r="B18" s="27" t="s">
        <v>40</v>
      </c>
      <c r="C18" s="10" t="s">
        <v>1087</v>
      </c>
      <c r="D18" s="10" t="s">
        <v>1088</v>
      </c>
      <c r="E18" s="27" t="s">
        <v>319</v>
      </c>
      <c r="F18" s="27" t="s">
        <v>164</v>
      </c>
      <c r="G18" s="27" t="s">
        <v>733</v>
      </c>
      <c r="H18" s="40">
        <f ca="1">Tabel5[[#This Row],[KEHADIRAN]]/100</f>
        <v>0</v>
      </c>
    </row>
    <row r="19" spans="2:8" x14ac:dyDescent="0.25">
      <c r="B19" s="27" t="s">
        <v>41</v>
      </c>
      <c r="C19" s="10" t="s">
        <v>1130</v>
      </c>
      <c r="D19" s="10" t="s">
        <v>1131</v>
      </c>
      <c r="E19" s="27" t="s">
        <v>25</v>
      </c>
      <c r="F19" s="27" t="s">
        <v>51</v>
      </c>
      <c r="G19" s="27" t="s">
        <v>1132</v>
      </c>
      <c r="H19" s="40">
        <f ca="1">Tabel5[[#This Row],[KEHADIRAN]]/100</f>
        <v>1</v>
      </c>
    </row>
    <row r="20" spans="2:8" x14ac:dyDescent="0.25">
      <c r="B20" s="27" t="s">
        <v>43</v>
      </c>
      <c r="C20" s="10" t="s">
        <v>1139</v>
      </c>
      <c r="D20" s="10" t="s">
        <v>1140</v>
      </c>
      <c r="E20" s="27" t="s">
        <v>31</v>
      </c>
      <c r="F20" s="27" t="s">
        <v>207</v>
      </c>
      <c r="G20" s="27" t="s">
        <v>389</v>
      </c>
      <c r="H20" s="40">
        <f ca="1">Tabel5[[#This Row],[KEHADIRAN]]/100</f>
        <v>0.84</v>
      </c>
    </row>
    <row r="21" spans="2:8" x14ac:dyDescent="0.25">
      <c r="B21" s="27" t="s">
        <v>45</v>
      </c>
      <c r="C21" s="10" t="s">
        <v>1147</v>
      </c>
      <c r="D21" s="10" t="s">
        <v>1148</v>
      </c>
      <c r="E21" s="27" t="s">
        <v>25</v>
      </c>
      <c r="F21" s="27" t="s">
        <v>51</v>
      </c>
      <c r="G21" s="27" t="s">
        <v>199</v>
      </c>
      <c r="H21" s="40">
        <f ca="1">Tabel5[[#This Row],[KEHADIRAN]]/100</f>
        <v>0.81</v>
      </c>
    </row>
    <row r="22" spans="2:8" x14ac:dyDescent="0.25">
      <c r="B22" s="27" t="s">
        <v>48</v>
      </c>
      <c r="C22" s="10" t="s">
        <v>1165</v>
      </c>
      <c r="D22" s="10" t="s">
        <v>1166</v>
      </c>
      <c r="E22" s="27" t="s">
        <v>25</v>
      </c>
      <c r="F22" s="27" t="s">
        <v>51</v>
      </c>
      <c r="G22" s="27" t="s">
        <v>132</v>
      </c>
      <c r="H22" s="40">
        <f ca="1">Tabel5[[#This Row],[KEHADIRAN]]/100</f>
        <v>0.83</v>
      </c>
    </row>
    <row r="23" spans="2:8" x14ac:dyDescent="0.25">
      <c r="B23" s="27" t="s">
        <v>49</v>
      </c>
      <c r="C23" s="10" t="s">
        <v>1167</v>
      </c>
      <c r="D23" s="10" t="s">
        <v>1168</v>
      </c>
      <c r="E23" s="27" t="s">
        <v>31</v>
      </c>
      <c r="F23" s="27" t="s">
        <v>60</v>
      </c>
      <c r="G23" s="27" t="s">
        <v>415</v>
      </c>
      <c r="H23" s="40">
        <f ca="1">Tabel5[[#This Row],[KEHADIRAN]]/100</f>
        <v>0.87</v>
      </c>
    </row>
    <row r="24" spans="2:8" x14ac:dyDescent="0.25">
      <c r="B24" s="27" t="s">
        <v>50</v>
      </c>
      <c r="C24" s="10" t="s">
        <v>1169</v>
      </c>
      <c r="D24" s="10" t="s">
        <v>1170</v>
      </c>
      <c r="E24" s="27" t="s">
        <v>25</v>
      </c>
      <c r="F24" s="27" t="s">
        <v>51</v>
      </c>
      <c r="G24" s="27" t="s">
        <v>97</v>
      </c>
      <c r="H24" s="40">
        <f ca="1">Tabel5[[#This Row],[KEHADIRAN]]/100</f>
        <v>0.89</v>
      </c>
    </row>
    <row r="25" spans="2:8" x14ac:dyDescent="0.25">
      <c r="B25" s="27" t="s">
        <v>52</v>
      </c>
      <c r="C25" s="10" t="s">
        <v>1173</v>
      </c>
      <c r="D25" s="10" t="s">
        <v>1174</v>
      </c>
      <c r="E25" s="27" t="s">
        <v>31</v>
      </c>
      <c r="F25" s="27" t="s">
        <v>123</v>
      </c>
      <c r="G25" s="27" t="s">
        <v>1175</v>
      </c>
      <c r="H25" s="40">
        <f ca="1">Tabel5[[#This Row],[KEHADIRAN]]/100</f>
        <v>0.83</v>
      </c>
    </row>
    <row r="26" spans="2:8" x14ac:dyDescent="0.25">
      <c r="B26" s="27" t="s">
        <v>55</v>
      </c>
      <c r="C26" s="10" t="s">
        <v>1176</v>
      </c>
      <c r="D26" s="10" t="s">
        <v>1177</v>
      </c>
      <c r="E26" s="27" t="s">
        <v>6</v>
      </c>
      <c r="F26" s="27" t="s">
        <v>100</v>
      </c>
      <c r="G26" s="27" t="s">
        <v>1178</v>
      </c>
      <c r="H26" s="40">
        <f ca="1">Tabel5[[#This Row],[KEHADIRAN]]/100</f>
        <v>0</v>
      </c>
    </row>
    <row r="27" spans="2:8" ht="15" x14ac:dyDescent="0.25">
      <c r="B27" s="34"/>
      <c r="C27" s="35"/>
      <c r="D27" s="36"/>
      <c r="E27" s="35"/>
      <c r="F27" s="35"/>
      <c r="G27" s="37"/>
    </row>
    <row r="28" spans="2:8" ht="15" x14ac:dyDescent="0.25">
      <c r="B28" s="6"/>
      <c r="C28" s="7"/>
      <c r="D28" s="8"/>
      <c r="E28" s="7"/>
      <c r="F28" s="7"/>
      <c r="G28" s="9"/>
    </row>
    <row r="29" spans="2:8" ht="15" x14ac:dyDescent="0.25">
      <c r="B29" s="2"/>
      <c r="C29" s="3"/>
      <c r="D29" s="4"/>
      <c r="E29" s="3"/>
      <c r="F29" s="3"/>
      <c r="G29" s="5"/>
    </row>
    <row r="30" spans="2:8" ht="15" x14ac:dyDescent="0.25">
      <c r="B30" s="2"/>
      <c r="C30" s="3"/>
      <c r="D30" s="4"/>
      <c r="E30" s="3"/>
      <c r="F30" s="3"/>
      <c r="G30" s="5"/>
    </row>
    <row r="31" spans="2:8" ht="15" x14ac:dyDescent="0.25">
      <c r="B31" s="6"/>
      <c r="C31" s="7"/>
      <c r="D31" s="8"/>
      <c r="E31" s="7"/>
      <c r="F31" s="7"/>
      <c r="G31" s="9"/>
    </row>
    <row r="32" spans="2:8" ht="15" x14ac:dyDescent="0.25">
      <c r="B32" s="2"/>
      <c r="C32" s="3"/>
      <c r="D32" s="4"/>
      <c r="E32" s="3"/>
      <c r="F32" s="3"/>
      <c r="G32" s="5"/>
    </row>
    <row r="33" spans="2:7" ht="15" x14ac:dyDescent="0.25">
      <c r="B33" s="6"/>
      <c r="C33" s="7"/>
      <c r="D33" s="8"/>
      <c r="E33" s="7"/>
      <c r="F33" s="7"/>
      <c r="G33" s="9"/>
    </row>
    <row r="34" spans="2:7" ht="15" x14ac:dyDescent="0.25">
      <c r="B34" s="2"/>
      <c r="C34" s="3"/>
      <c r="D34" s="4"/>
      <c r="E34" s="3"/>
      <c r="F34" s="3"/>
      <c r="G34" s="5"/>
    </row>
    <row r="35" spans="2:7" ht="15" x14ac:dyDescent="0.25">
      <c r="B35" s="6"/>
      <c r="C35" s="7"/>
      <c r="D35" s="8"/>
      <c r="E35" s="7"/>
      <c r="F35" s="7"/>
      <c r="G35" s="9"/>
    </row>
    <row r="36" spans="2:7" ht="15" x14ac:dyDescent="0.25">
      <c r="B36" s="2"/>
      <c r="C36" s="3"/>
      <c r="D36" s="4"/>
      <c r="E36" s="3"/>
      <c r="F36" s="3"/>
      <c r="G36" s="5"/>
    </row>
    <row r="37" spans="2:7" ht="15" x14ac:dyDescent="0.25">
      <c r="B37" s="6"/>
      <c r="C37" s="7"/>
      <c r="D37" s="8"/>
      <c r="E37" s="7"/>
      <c r="F37" s="7"/>
      <c r="G37" s="9"/>
    </row>
    <row r="38" spans="2:7" ht="15" x14ac:dyDescent="0.25">
      <c r="B38" s="2"/>
      <c r="C38" s="3"/>
      <c r="D38" s="4"/>
      <c r="E38" s="3"/>
      <c r="F38" s="3"/>
      <c r="G38" s="5"/>
    </row>
    <row r="39" spans="2:7" ht="15" x14ac:dyDescent="0.25">
      <c r="B39" s="6"/>
      <c r="C39" s="7"/>
      <c r="D39" s="8"/>
      <c r="E39" s="7"/>
      <c r="F39" s="7"/>
      <c r="G39" s="9"/>
    </row>
    <row r="40" spans="2:7" ht="15" x14ac:dyDescent="0.25">
      <c r="B40" s="2"/>
      <c r="C40" s="3"/>
      <c r="D40" s="4"/>
      <c r="E40" s="3"/>
      <c r="F40" s="3"/>
      <c r="G40" s="5"/>
    </row>
    <row r="41" spans="2:7" ht="15" x14ac:dyDescent="0.25">
      <c r="B41" s="6"/>
      <c r="C41" s="7"/>
      <c r="D41" s="8"/>
      <c r="E41" s="7"/>
      <c r="F41" s="7"/>
      <c r="G41" s="9"/>
    </row>
    <row r="42" spans="2:7" ht="15" x14ac:dyDescent="0.25">
      <c r="B42" s="2"/>
      <c r="C42" s="3"/>
      <c r="D42" s="4"/>
      <c r="E42" s="3"/>
      <c r="F42" s="3"/>
      <c r="G42" s="5"/>
    </row>
    <row r="43" spans="2:7" ht="15" x14ac:dyDescent="0.25">
      <c r="B43" s="6"/>
      <c r="C43" s="7"/>
      <c r="D43" s="25"/>
      <c r="E43" s="7"/>
      <c r="F43" s="7"/>
      <c r="G43" s="9"/>
    </row>
    <row r="44" spans="2:7" ht="15" x14ac:dyDescent="0.25">
      <c r="B44" s="28"/>
      <c r="C44"/>
      <c r="D44"/>
      <c r="E44" s="28"/>
      <c r="F44" s="28"/>
      <c r="G44" s="28"/>
    </row>
    <row r="45" spans="2:7" ht="15" x14ac:dyDescent="0.25">
      <c r="B45" s="28"/>
      <c r="C45"/>
      <c r="D45"/>
      <c r="E45" s="28"/>
      <c r="F45" s="28"/>
      <c r="G45" s="28"/>
    </row>
    <row r="46" spans="2:7" ht="15" x14ac:dyDescent="0.25">
      <c r="B46" s="28"/>
      <c r="C46"/>
      <c r="D46"/>
      <c r="E46" s="28"/>
      <c r="F46" s="28"/>
      <c r="G46" s="28"/>
    </row>
    <row r="47" spans="2:7" ht="15" x14ac:dyDescent="0.25">
      <c r="B47" s="28"/>
      <c r="C47"/>
      <c r="D47"/>
      <c r="E47" s="28"/>
      <c r="F47" s="28"/>
      <c r="G47" s="28"/>
    </row>
    <row r="48" spans="2:7" ht="15" x14ac:dyDescent="0.25">
      <c r="B48" s="28"/>
      <c r="C48"/>
      <c r="D48"/>
      <c r="E48" s="28"/>
      <c r="F48" s="28"/>
      <c r="G48" s="28"/>
    </row>
    <row r="49" spans="2:7" ht="15" x14ac:dyDescent="0.25">
      <c r="B49" s="28"/>
      <c r="C49"/>
      <c r="D49"/>
      <c r="E49" s="28"/>
      <c r="F49" s="28"/>
      <c r="G49" s="28"/>
    </row>
    <row r="50" spans="2:7" ht="15" x14ac:dyDescent="0.25">
      <c r="B50" s="28"/>
      <c r="C50"/>
      <c r="D50"/>
      <c r="E50" s="28"/>
      <c r="F50" s="28"/>
      <c r="G50" s="28"/>
    </row>
    <row r="51" spans="2:7" ht="15" x14ac:dyDescent="0.25">
      <c r="B51" s="28"/>
      <c r="C51"/>
      <c r="D51"/>
      <c r="E51" s="28"/>
      <c r="F51" s="28"/>
      <c r="G51" s="28"/>
    </row>
    <row r="52" spans="2:7" ht="15" x14ac:dyDescent="0.25">
      <c r="B52" s="28"/>
      <c r="C52"/>
      <c r="D52"/>
      <c r="E52" s="28"/>
      <c r="F52" s="28"/>
      <c r="G52" s="28"/>
    </row>
    <row r="53" spans="2:7" ht="15" x14ac:dyDescent="0.25">
      <c r="B53" s="28"/>
      <c r="C53"/>
      <c r="D53"/>
      <c r="E53" s="28"/>
      <c r="F53" s="28"/>
      <c r="G53" s="28"/>
    </row>
    <row r="54" spans="2:7" ht="15" x14ac:dyDescent="0.25">
      <c r="B54" s="28"/>
      <c r="C54"/>
      <c r="D54"/>
      <c r="E54" s="28"/>
      <c r="F54" s="28"/>
      <c r="G54" s="28"/>
    </row>
    <row r="55" spans="2:7" ht="15" x14ac:dyDescent="0.25">
      <c r="B55" s="28"/>
      <c r="C55"/>
      <c r="D55"/>
      <c r="E55" s="28"/>
      <c r="F55" s="28"/>
      <c r="G55" s="28"/>
    </row>
    <row r="56" spans="2:7" ht="15" x14ac:dyDescent="0.25">
      <c r="B56" s="28"/>
      <c r="C56"/>
      <c r="D56"/>
      <c r="E56" s="28"/>
      <c r="F56" s="28"/>
      <c r="G56" s="28"/>
    </row>
    <row r="57" spans="2:7" ht="15" x14ac:dyDescent="0.25">
      <c r="B57" s="28"/>
      <c r="C57"/>
      <c r="D57"/>
      <c r="E57" s="28"/>
      <c r="F57" s="28"/>
      <c r="G57" s="28"/>
    </row>
    <row r="58" spans="2:7" ht="15" x14ac:dyDescent="0.25">
      <c r="B58" s="28"/>
      <c r="C58"/>
      <c r="D58"/>
      <c r="E58" s="28"/>
      <c r="F58" s="28"/>
      <c r="G58" s="28"/>
    </row>
    <row r="59" spans="2:7" ht="15" x14ac:dyDescent="0.25">
      <c r="B59" s="28"/>
      <c r="C59"/>
      <c r="D59"/>
      <c r="E59" s="28"/>
      <c r="F59" s="28"/>
      <c r="G59" s="28"/>
    </row>
    <row r="60" spans="2:7" ht="15" x14ac:dyDescent="0.25">
      <c r="B60" s="28"/>
      <c r="C60"/>
      <c r="D60"/>
      <c r="E60" s="28"/>
      <c r="F60" s="28"/>
      <c r="G60" s="28"/>
    </row>
    <row r="61" spans="2:7" ht="15" x14ac:dyDescent="0.25">
      <c r="B61" s="28"/>
      <c r="C61"/>
      <c r="D61"/>
      <c r="E61" s="28"/>
      <c r="F61" s="28"/>
      <c r="G61" s="28"/>
    </row>
    <row r="62" spans="2:7" ht="15" x14ac:dyDescent="0.25">
      <c r="B62" s="28"/>
      <c r="C62"/>
      <c r="D62"/>
      <c r="E62" s="28"/>
      <c r="F62" s="28"/>
      <c r="G62" s="28"/>
    </row>
    <row r="63" spans="2:7" ht="15" x14ac:dyDescent="0.25">
      <c r="B63" s="28"/>
      <c r="C63"/>
      <c r="D63"/>
      <c r="E63" s="28"/>
      <c r="F63" s="28"/>
      <c r="G63" s="28"/>
    </row>
    <row r="64" spans="2:7" ht="15" x14ac:dyDescent="0.25">
      <c r="B64" s="28"/>
      <c r="C64"/>
      <c r="D64"/>
      <c r="E64" s="28"/>
      <c r="F64" s="28"/>
      <c r="G64" s="28"/>
    </row>
    <row r="65" spans="2:7" ht="15" x14ac:dyDescent="0.25">
      <c r="B65" s="28"/>
      <c r="C65"/>
      <c r="D65"/>
      <c r="E65" s="28"/>
      <c r="F65" s="28"/>
      <c r="G65" s="28"/>
    </row>
    <row r="66" spans="2:7" ht="15" x14ac:dyDescent="0.25">
      <c r="B66" s="28"/>
      <c r="C66"/>
      <c r="D66"/>
      <c r="E66" s="28"/>
      <c r="F66" s="28"/>
      <c r="G66" s="28"/>
    </row>
    <row r="67" spans="2:7" ht="15" x14ac:dyDescent="0.25">
      <c r="B67" s="28"/>
      <c r="C67"/>
      <c r="D67"/>
      <c r="E67" s="28"/>
      <c r="F67" s="28"/>
      <c r="G67" s="28"/>
    </row>
    <row r="68" spans="2:7" ht="15" x14ac:dyDescent="0.25">
      <c r="B68" s="28"/>
      <c r="C68"/>
      <c r="D68"/>
      <c r="E68" s="28"/>
      <c r="F68" s="28"/>
      <c r="G68" s="28"/>
    </row>
    <row r="69" spans="2:7" ht="15" x14ac:dyDescent="0.25">
      <c r="B69" s="28"/>
      <c r="C69"/>
      <c r="D69"/>
      <c r="E69" s="28"/>
      <c r="F69" s="28"/>
      <c r="G69" s="28"/>
    </row>
    <row r="70" spans="2:7" ht="15" x14ac:dyDescent="0.25">
      <c r="B70" s="28"/>
      <c r="C70"/>
      <c r="D70"/>
      <c r="E70" s="28"/>
      <c r="F70" s="28"/>
      <c r="G70" s="28"/>
    </row>
    <row r="71" spans="2:7" ht="15" x14ac:dyDescent="0.25">
      <c r="B71" s="28"/>
      <c r="C71"/>
      <c r="D71"/>
      <c r="E71" s="28"/>
      <c r="F71" s="28"/>
      <c r="G71" s="28"/>
    </row>
    <row r="72" spans="2:7" ht="15" x14ac:dyDescent="0.25">
      <c r="B72" s="28"/>
      <c r="C72"/>
      <c r="D72"/>
      <c r="E72" s="28"/>
      <c r="F72" s="28"/>
      <c r="G72" s="28"/>
    </row>
    <row r="73" spans="2:7" ht="15" x14ac:dyDescent="0.25">
      <c r="B73" s="28"/>
      <c r="C73"/>
      <c r="D73"/>
      <c r="E73" s="28"/>
      <c r="F73" s="28"/>
      <c r="G73" s="28"/>
    </row>
    <row r="74" spans="2:7" ht="15" x14ac:dyDescent="0.25">
      <c r="B74" s="28"/>
      <c r="C74"/>
      <c r="D74"/>
      <c r="E74" s="28"/>
      <c r="F74" s="28"/>
      <c r="G74" s="28"/>
    </row>
    <row r="75" spans="2:7" ht="15" x14ac:dyDescent="0.25">
      <c r="B75" s="28"/>
      <c r="C75"/>
      <c r="D75"/>
      <c r="E75" s="28"/>
      <c r="F75" s="28"/>
      <c r="G75" s="28"/>
    </row>
    <row r="76" spans="2:7" ht="15" x14ac:dyDescent="0.25">
      <c r="B76" s="28"/>
      <c r="C76"/>
      <c r="D76"/>
      <c r="E76" s="28"/>
      <c r="F76" s="28"/>
      <c r="G76" s="28"/>
    </row>
    <row r="77" spans="2:7" ht="15" x14ac:dyDescent="0.25">
      <c r="B77" s="28"/>
      <c r="C77"/>
      <c r="D77"/>
      <c r="E77" s="28"/>
      <c r="F77" s="28"/>
      <c r="G77" s="28"/>
    </row>
    <row r="78" spans="2:7" ht="15" x14ac:dyDescent="0.25">
      <c r="B78" s="28"/>
      <c r="C78"/>
      <c r="D78"/>
      <c r="E78" s="28"/>
      <c r="F78" s="28"/>
      <c r="G78" s="28"/>
    </row>
    <row r="79" spans="2:7" ht="15" x14ac:dyDescent="0.25">
      <c r="B79" s="28"/>
      <c r="C79"/>
      <c r="D79"/>
      <c r="E79" s="28"/>
      <c r="F79" s="28"/>
      <c r="G79" s="28"/>
    </row>
    <row r="80" spans="2:7" ht="15" x14ac:dyDescent="0.25">
      <c r="B80" s="28"/>
      <c r="C80"/>
      <c r="D80"/>
      <c r="E80" s="28"/>
      <c r="F80" s="28"/>
      <c r="G80" s="28"/>
    </row>
    <row r="81" spans="2:7" ht="15" x14ac:dyDescent="0.25">
      <c r="B81" s="28"/>
      <c r="C81"/>
      <c r="D81"/>
      <c r="E81" s="28"/>
      <c r="F81" s="28"/>
      <c r="G81" s="28"/>
    </row>
    <row r="82" spans="2:7" ht="15" x14ac:dyDescent="0.25">
      <c r="B82" s="28"/>
      <c r="C82"/>
      <c r="D82"/>
      <c r="E82" s="28"/>
      <c r="F82" s="28"/>
      <c r="G82" s="28"/>
    </row>
    <row r="83" spans="2:7" ht="15" x14ac:dyDescent="0.25">
      <c r="B83" s="28"/>
      <c r="C83"/>
      <c r="D83"/>
      <c r="E83" s="28"/>
      <c r="F83" s="28"/>
      <c r="G83" s="28"/>
    </row>
    <row r="84" spans="2:7" ht="15" x14ac:dyDescent="0.25">
      <c r="B84" s="28"/>
      <c r="C84"/>
      <c r="D84"/>
      <c r="E84" s="28"/>
      <c r="F84" s="28"/>
      <c r="G84" s="28"/>
    </row>
    <row r="85" spans="2:7" ht="15" x14ac:dyDescent="0.25">
      <c r="B85" s="28"/>
      <c r="C85"/>
      <c r="D85"/>
      <c r="E85" s="28"/>
      <c r="F85" s="28"/>
      <c r="G85" s="28"/>
    </row>
    <row r="86" spans="2:7" ht="15" x14ac:dyDescent="0.25">
      <c r="B86" s="28"/>
      <c r="C86"/>
      <c r="D86"/>
      <c r="E86" s="28"/>
      <c r="F86" s="28"/>
      <c r="G86" s="28"/>
    </row>
    <row r="87" spans="2:7" ht="15" x14ac:dyDescent="0.25">
      <c r="B87" s="28"/>
      <c r="C87"/>
      <c r="D87"/>
      <c r="E87" s="28"/>
      <c r="F87" s="28"/>
      <c r="G87" s="28"/>
    </row>
    <row r="88" spans="2:7" ht="15" x14ac:dyDescent="0.25">
      <c r="B88" s="28"/>
      <c r="C88"/>
      <c r="D88"/>
      <c r="E88" s="28"/>
      <c r="F88" s="28"/>
      <c r="G88" s="28"/>
    </row>
    <row r="89" spans="2:7" ht="15" x14ac:dyDescent="0.25">
      <c r="B89" s="28"/>
      <c r="C89"/>
      <c r="D89"/>
      <c r="E89" s="28"/>
      <c r="F89" s="28"/>
      <c r="G89" s="28"/>
    </row>
    <row r="90" spans="2:7" ht="15" x14ac:dyDescent="0.25">
      <c r="B90" s="28"/>
      <c r="C90"/>
      <c r="D90"/>
      <c r="E90" s="28"/>
      <c r="F90" s="28"/>
      <c r="G90" s="28"/>
    </row>
    <row r="91" spans="2:7" ht="15" x14ac:dyDescent="0.25">
      <c r="B91" s="28"/>
      <c r="C91"/>
      <c r="D91"/>
      <c r="E91" s="28"/>
      <c r="F91" s="28"/>
      <c r="G91" s="28"/>
    </row>
    <row r="92" spans="2:7" ht="15" x14ac:dyDescent="0.25">
      <c r="B92" s="28"/>
      <c r="C92"/>
      <c r="D92"/>
      <c r="E92" s="28"/>
      <c r="F92" s="28"/>
      <c r="G92" s="28"/>
    </row>
    <row r="93" spans="2:7" ht="15" x14ac:dyDescent="0.25">
      <c r="B93" s="28"/>
      <c r="C93"/>
      <c r="D93"/>
      <c r="E93" s="28"/>
      <c r="F93" s="28"/>
      <c r="G93" s="28"/>
    </row>
    <row r="94" spans="2:7" ht="15" x14ac:dyDescent="0.25">
      <c r="B94" s="28"/>
      <c r="C94"/>
      <c r="D94"/>
      <c r="E94" s="28"/>
      <c r="F94" s="28"/>
      <c r="G94" s="28"/>
    </row>
    <row r="95" spans="2:7" ht="15" x14ac:dyDescent="0.25">
      <c r="B95" s="28"/>
      <c r="C95"/>
      <c r="D95"/>
      <c r="E95" s="28"/>
      <c r="F95" s="28"/>
      <c r="G95" s="28"/>
    </row>
    <row r="96" spans="2:7" ht="15" x14ac:dyDescent="0.25">
      <c r="B96" s="28"/>
      <c r="C96"/>
      <c r="D96"/>
      <c r="E96" s="28"/>
      <c r="F96" s="28"/>
      <c r="G96" s="28"/>
    </row>
    <row r="97" spans="2:7" ht="15" x14ac:dyDescent="0.25">
      <c r="B97" s="28"/>
      <c r="C97"/>
      <c r="D97"/>
      <c r="E97" s="28"/>
      <c r="F97" s="28"/>
      <c r="G97" s="28"/>
    </row>
    <row r="98" spans="2:7" ht="15" x14ac:dyDescent="0.25">
      <c r="B98" s="28"/>
      <c r="C98"/>
      <c r="D98"/>
      <c r="E98" s="28"/>
      <c r="F98" s="28"/>
      <c r="G98" s="28"/>
    </row>
    <row r="99" spans="2:7" ht="15" x14ac:dyDescent="0.25">
      <c r="B99" s="28"/>
      <c r="C99"/>
      <c r="D99"/>
      <c r="E99" s="28"/>
      <c r="F99" s="28"/>
      <c r="G99" s="28"/>
    </row>
    <row r="100" spans="2:7" ht="15" x14ac:dyDescent="0.25">
      <c r="B100" s="28"/>
      <c r="C100"/>
      <c r="D100"/>
      <c r="E100" s="28"/>
      <c r="F100" s="28"/>
      <c r="G100" s="28"/>
    </row>
    <row r="101" spans="2:7" ht="15" x14ac:dyDescent="0.25">
      <c r="B101" s="28"/>
      <c r="C101"/>
      <c r="D101"/>
      <c r="E101" s="28"/>
      <c r="F101" s="28"/>
      <c r="G101" s="28"/>
    </row>
    <row r="102" spans="2:7" ht="15" x14ac:dyDescent="0.25">
      <c r="B102" s="28"/>
      <c r="C102"/>
      <c r="D102"/>
      <c r="E102" s="28"/>
      <c r="F102" s="28"/>
      <c r="G102" s="28"/>
    </row>
    <row r="103" spans="2:7" ht="15" x14ac:dyDescent="0.25">
      <c r="B103" s="28"/>
      <c r="C103"/>
      <c r="D103"/>
      <c r="E103" s="28"/>
      <c r="F103" s="28"/>
      <c r="G103" s="28"/>
    </row>
    <row r="104" spans="2:7" ht="15" x14ac:dyDescent="0.25">
      <c r="B104" s="28"/>
      <c r="C104"/>
      <c r="D104"/>
      <c r="E104" s="28"/>
      <c r="F104" s="28"/>
      <c r="G104" s="28"/>
    </row>
    <row r="105" spans="2:7" ht="15" x14ac:dyDescent="0.25">
      <c r="B105" s="28"/>
      <c r="C105"/>
      <c r="D105"/>
      <c r="E105" s="28"/>
      <c r="F105" s="28"/>
      <c r="G105" s="28"/>
    </row>
    <row r="106" spans="2:7" ht="15" x14ac:dyDescent="0.25">
      <c r="B106" s="28"/>
      <c r="C106"/>
      <c r="D106"/>
      <c r="E106" s="28"/>
      <c r="F106" s="28"/>
      <c r="G106" s="28"/>
    </row>
    <row r="107" spans="2:7" ht="15" x14ac:dyDescent="0.25">
      <c r="B107" s="28"/>
      <c r="C107"/>
      <c r="D107"/>
      <c r="E107" s="28"/>
      <c r="F107" s="28"/>
      <c r="G107" s="28"/>
    </row>
    <row r="108" spans="2:7" ht="15" x14ac:dyDescent="0.25">
      <c r="B108" s="28"/>
      <c r="C108"/>
      <c r="D108"/>
      <c r="E108" s="28"/>
      <c r="F108" s="28"/>
      <c r="G108" s="28"/>
    </row>
    <row r="109" spans="2:7" ht="15" x14ac:dyDescent="0.25">
      <c r="B109" s="28"/>
      <c r="C109"/>
      <c r="D109"/>
      <c r="E109" s="28"/>
      <c r="F109" s="28"/>
      <c r="G109" s="28"/>
    </row>
    <row r="110" spans="2:7" ht="15" x14ac:dyDescent="0.25">
      <c r="B110" s="28"/>
      <c r="C110"/>
      <c r="D110"/>
      <c r="E110" s="28"/>
      <c r="F110" s="28"/>
      <c r="G110" s="28"/>
    </row>
    <row r="111" spans="2:7" ht="15" x14ac:dyDescent="0.25">
      <c r="B111" s="28"/>
      <c r="C111"/>
      <c r="D111"/>
      <c r="E111" s="28"/>
      <c r="F111" s="28"/>
      <c r="G111" s="28"/>
    </row>
    <row r="112" spans="2:7" ht="15" x14ac:dyDescent="0.25">
      <c r="B112" s="28"/>
      <c r="C112"/>
      <c r="D112"/>
      <c r="E112" s="28"/>
      <c r="F112" s="28"/>
      <c r="G112" s="28"/>
    </row>
    <row r="113" spans="2:7" ht="15" x14ac:dyDescent="0.25">
      <c r="B113" s="28"/>
      <c r="C113"/>
      <c r="D113"/>
      <c r="E113" s="28"/>
      <c r="F113" s="28"/>
      <c r="G113" s="28"/>
    </row>
    <row r="114" spans="2:7" ht="15" x14ac:dyDescent="0.25">
      <c r="B114" s="28"/>
      <c r="C114"/>
      <c r="D114"/>
      <c r="E114" s="28"/>
      <c r="F114" s="28"/>
      <c r="G114" s="28"/>
    </row>
    <row r="115" spans="2:7" ht="15" x14ac:dyDescent="0.25">
      <c r="B115" s="28"/>
      <c r="C115"/>
      <c r="D115"/>
      <c r="E115" s="28"/>
      <c r="F115" s="28"/>
      <c r="G115" s="28"/>
    </row>
    <row r="116" spans="2:7" ht="15" x14ac:dyDescent="0.25">
      <c r="B116" s="28"/>
      <c r="C116"/>
      <c r="D116"/>
      <c r="E116" s="28"/>
      <c r="F116" s="28"/>
      <c r="G116" s="28"/>
    </row>
    <row r="117" spans="2:7" ht="15" x14ac:dyDescent="0.25">
      <c r="B117" s="28"/>
      <c r="C117"/>
      <c r="D117"/>
      <c r="E117" s="28"/>
      <c r="F117" s="28"/>
      <c r="G117" s="28"/>
    </row>
    <row r="118" spans="2:7" ht="15" x14ac:dyDescent="0.25">
      <c r="B118" s="28"/>
      <c r="C118"/>
      <c r="D118"/>
      <c r="E118" s="28"/>
      <c r="F118" s="28"/>
      <c r="G118" s="28"/>
    </row>
    <row r="119" spans="2:7" ht="15" x14ac:dyDescent="0.25">
      <c r="B119" s="28"/>
      <c r="C119"/>
      <c r="D119"/>
      <c r="E119" s="28"/>
      <c r="F119" s="28"/>
      <c r="G119" s="28"/>
    </row>
    <row r="120" spans="2:7" ht="15" x14ac:dyDescent="0.25">
      <c r="B120" s="28"/>
      <c r="C120"/>
      <c r="D120"/>
      <c r="E120" s="28"/>
      <c r="F120" s="28"/>
      <c r="G120" s="28"/>
    </row>
    <row r="121" spans="2:7" ht="15" x14ac:dyDescent="0.25">
      <c r="B121" s="28"/>
      <c r="C121"/>
      <c r="D121"/>
      <c r="E121" s="28"/>
      <c r="F121" s="28"/>
      <c r="G121" s="28"/>
    </row>
    <row r="122" spans="2:7" ht="15" x14ac:dyDescent="0.25">
      <c r="B122" s="28"/>
      <c r="C122"/>
      <c r="D122"/>
      <c r="E122" s="28"/>
      <c r="F122" s="28"/>
      <c r="G122" s="28"/>
    </row>
    <row r="123" spans="2:7" ht="15" x14ac:dyDescent="0.25">
      <c r="B123" s="28"/>
      <c r="C123"/>
      <c r="D123"/>
      <c r="E123" s="28"/>
      <c r="F123" s="28"/>
      <c r="G123" s="28"/>
    </row>
    <row r="124" spans="2:7" ht="15" x14ac:dyDescent="0.25">
      <c r="B124" s="28"/>
      <c r="C124"/>
      <c r="D124"/>
      <c r="E124" s="28"/>
      <c r="F124" s="28"/>
      <c r="G124" s="28"/>
    </row>
    <row r="125" spans="2:7" ht="15" x14ac:dyDescent="0.25">
      <c r="B125" s="28"/>
      <c r="C125"/>
      <c r="D125"/>
      <c r="E125" s="28"/>
      <c r="F125" s="28"/>
      <c r="G125" s="28"/>
    </row>
    <row r="126" spans="2:7" ht="15" x14ac:dyDescent="0.25">
      <c r="B126" s="28"/>
      <c r="C126"/>
      <c r="D126"/>
      <c r="E126" s="28"/>
      <c r="F126" s="28"/>
      <c r="G126" s="28"/>
    </row>
    <row r="127" spans="2:7" ht="15" x14ac:dyDescent="0.25">
      <c r="B127" s="28"/>
      <c r="C127"/>
      <c r="D127"/>
      <c r="E127" s="28"/>
      <c r="F127" s="28"/>
      <c r="G127" s="28"/>
    </row>
    <row r="128" spans="2:7" ht="15" x14ac:dyDescent="0.25">
      <c r="B128" s="28"/>
      <c r="C128"/>
      <c r="D128"/>
      <c r="E128" s="28"/>
      <c r="F128" s="28"/>
      <c r="G128" s="28"/>
    </row>
    <row r="129" spans="2:7" ht="15" x14ac:dyDescent="0.25">
      <c r="B129" s="28"/>
      <c r="C129"/>
      <c r="D129"/>
      <c r="E129" s="28"/>
      <c r="F129" s="28"/>
      <c r="G129" s="28"/>
    </row>
    <row r="130" spans="2:7" ht="15" x14ac:dyDescent="0.25">
      <c r="B130" s="28"/>
      <c r="C130"/>
      <c r="D130"/>
      <c r="E130" s="28"/>
      <c r="F130" s="28"/>
      <c r="G130" s="28"/>
    </row>
    <row r="131" spans="2:7" ht="15" x14ac:dyDescent="0.25">
      <c r="B131" s="28"/>
      <c r="C131"/>
      <c r="D131"/>
      <c r="E131" s="28"/>
      <c r="F131" s="28"/>
      <c r="G131" s="28"/>
    </row>
    <row r="132" spans="2:7" ht="15" x14ac:dyDescent="0.25">
      <c r="B132" s="28"/>
      <c r="C132"/>
      <c r="D132"/>
      <c r="E132" s="28"/>
      <c r="F132" s="28"/>
      <c r="G132" s="28"/>
    </row>
    <row r="133" spans="2:7" ht="15" x14ac:dyDescent="0.25">
      <c r="B133" s="28"/>
      <c r="C133"/>
      <c r="D133"/>
      <c r="E133" s="28"/>
      <c r="F133" s="28"/>
      <c r="G133" s="28"/>
    </row>
    <row r="134" spans="2:7" ht="15" x14ac:dyDescent="0.25">
      <c r="B134" s="28"/>
      <c r="C134"/>
      <c r="D134"/>
      <c r="E134" s="28"/>
      <c r="F134" s="28"/>
      <c r="G134" s="28"/>
    </row>
    <row r="135" spans="2:7" ht="15" x14ac:dyDescent="0.25">
      <c r="B135" s="28"/>
      <c r="C135"/>
      <c r="D135"/>
      <c r="E135" s="28"/>
      <c r="F135" s="28"/>
      <c r="G135" s="28"/>
    </row>
    <row r="136" spans="2:7" ht="15" x14ac:dyDescent="0.25">
      <c r="B136" s="28"/>
      <c r="C136"/>
      <c r="D136"/>
      <c r="E136" s="28"/>
      <c r="F136" s="28"/>
      <c r="G136" s="28"/>
    </row>
    <row r="137" spans="2:7" ht="15" x14ac:dyDescent="0.25">
      <c r="B137" s="28"/>
      <c r="C137"/>
      <c r="D137"/>
      <c r="E137" s="28"/>
      <c r="F137" s="28"/>
      <c r="G137" s="28"/>
    </row>
    <row r="138" spans="2:7" ht="15" x14ac:dyDescent="0.25">
      <c r="B138" s="28"/>
      <c r="C138"/>
      <c r="D138"/>
      <c r="E138" s="28"/>
      <c r="F138" s="28"/>
      <c r="G138" s="28"/>
    </row>
    <row r="139" spans="2:7" ht="15" x14ac:dyDescent="0.25">
      <c r="B139" s="28"/>
      <c r="C139"/>
      <c r="D139"/>
      <c r="E139" s="28"/>
      <c r="F139" s="28"/>
      <c r="G139" s="28"/>
    </row>
    <row r="140" spans="2:7" ht="15" x14ac:dyDescent="0.25">
      <c r="B140" s="28"/>
      <c r="C140"/>
      <c r="D140"/>
      <c r="E140" s="28"/>
      <c r="F140" s="28"/>
      <c r="G140" s="28"/>
    </row>
    <row r="141" spans="2:7" ht="15" x14ac:dyDescent="0.25">
      <c r="B141" s="28"/>
      <c r="C141"/>
      <c r="D141"/>
      <c r="E141" s="28"/>
      <c r="F141" s="28"/>
      <c r="G141" s="28"/>
    </row>
    <row r="142" spans="2:7" ht="15" x14ac:dyDescent="0.25">
      <c r="B142" s="28"/>
      <c r="C142"/>
      <c r="D142"/>
      <c r="E142" s="28"/>
      <c r="F142" s="28"/>
      <c r="G142" s="28"/>
    </row>
    <row r="143" spans="2:7" ht="15" x14ac:dyDescent="0.25">
      <c r="B143" s="28"/>
      <c r="C143"/>
      <c r="D143"/>
      <c r="E143" s="28"/>
      <c r="F143" s="28"/>
      <c r="G143" s="28"/>
    </row>
    <row r="144" spans="2:7" ht="15" x14ac:dyDescent="0.25">
      <c r="B144" s="28"/>
      <c r="C144"/>
      <c r="D144"/>
      <c r="E144" s="28"/>
      <c r="F144" s="28"/>
      <c r="G144" s="28"/>
    </row>
    <row r="145" spans="2:7" ht="15" x14ac:dyDescent="0.25">
      <c r="B145" s="28"/>
      <c r="C145"/>
      <c r="D145"/>
      <c r="E145" s="28"/>
      <c r="F145" s="28"/>
      <c r="G145" s="28"/>
    </row>
    <row r="146" spans="2:7" ht="15" x14ac:dyDescent="0.25">
      <c r="B146" s="28"/>
      <c r="C146"/>
      <c r="D146"/>
      <c r="E146" s="28"/>
      <c r="F146" s="28"/>
      <c r="G146" s="28"/>
    </row>
    <row r="147" spans="2:7" ht="15" x14ac:dyDescent="0.25">
      <c r="B147" s="28"/>
      <c r="C147"/>
      <c r="D147"/>
      <c r="E147" s="28"/>
      <c r="F147" s="28"/>
      <c r="G147" s="28"/>
    </row>
    <row r="148" spans="2:7" ht="15" x14ac:dyDescent="0.25">
      <c r="B148" s="28"/>
      <c r="C148"/>
      <c r="D148"/>
      <c r="E148" s="28"/>
      <c r="F148" s="28"/>
      <c r="G148" s="28"/>
    </row>
    <row r="149" spans="2:7" ht="15" x14ac:dyDescent="0.25">
      <c r="B149" s="28"/>
      <c r="C149"/>
      <c r="D149"/>
      <c r="E149" s="28"/>
      <c r="F149" s="28"/>
      <c r="G149" s="28"/>
    </row>
    <row r="150" spans="2:7" ht="15" x14ac:dyDescent="0.25">
      <c r="B150" s="28"/>
      <c r="C150"/>
      <c r="D150"/>
      <c r="E150" s="28"/>
      <c r="F150" s="28"/>
      <c r="G150" s="28"/>
    </row>
    <row r="151" spans="2:7" ht="15" x14ac:dyDescent="0.25">
      <c r="B151" s="28"/>
      <c r="C151"/>
      <c r="D151"/>
      <c r="E151" s="28"/>
      <c r="F151" s="28"/>
      <c r="G151" s="28"/>
    </row>
    <row r="152" spans="2:7" ht="15" x14ac:dyDescent="0.25">
      <c r="B152" s="28"/>
      <c r="C152"/>
      <c r="D152"/>
      <c r="E152" s="28"/>
      <c r="F152" s="28"/>
      <c r="G152" s="28"/>
    </row>
    <row r="153" spans="2:7" ht="15" x14ac:dyDescent="0.25">
      <c r="B153" s="28"/>
      <c r="C153"/>
      <c r="D153"/>
      <c r="E153" s="28"/>
      <c r="F153" s="28"/>
      <c r="G153" s="28"/>
    </row>
    <row r="154" spans="2:7" ht="15" x14ac:dyDescent="0.25">
      <c r="B154" s="28"/>
      <c r="C154"/>
      <c r="D154"/>
      <c r="E154" s="28"/>
      <c r="F154" s="28"/>
      <c r="G154" s="28"/>
    </row>
    <row r="155" spans="2:7" ht="15" x14ac:dyDescent="0.25">
      <c r="B155" s="28"/>
      <c r="C155"/>
      <c r="D155"/>
      <c r="E155" s="28"/>
      <c r="F155" s="28"/>
      <c r="G155" s="28"/>
    </row>
    <row r="156" spans="2:7" ht="15" x14ac:dyDescent="0.25">
      <c r="B156" s="28"/>
      <c r="C156"/>
      <c r="D156"/>
      <c r="E156" s="28"/>
      <c r="F156" s="28"/>
      <c r="G156" s="28"/>
    </row>
    <row r="157" spans="2:7" ht="15" x14ac:dyDescent="0.25">
      <c r="B157" s="28"/>
      <c r="C157"/>
      <c r="D157"/>
      <c r="E157" s="28"/>
      <c r="F157" s="28"/>
      <c r="G157" s="28"/>
    </row>
    <row r="158" spans="2:7" ht="15" x14ac:dyDescent="0.25">
      <c r="B158" s="28"/>
      <c r="C158"/>
      <c r="D158"/>
      <c r="E158" s="28"/>
      <c r="F158" s="28"/>
      <c r="G158" s="28"/>
    </row>
    <row r="159" spans="2:7" ht="15" x14ac:dyDescent="0.25">
      <c r="B159" s="28"/>
      <c r="C159"/>
      <c r="D159"/>
      <c r="E159" s="28"/>
      <c r="F159" s="28"/>
      <c r="G159" s="28"/>
    </row>
    <row r="160" spans="2:7" ht="15" x14ac:dyDescent="0.25">
      <c r="B160" s="28"/>
      <c r="C160"/>
      <c r="D160"/>
      <c r="E160" s="28"/>
      <c r="F160" s="28"/>
      <c r="G160" s="28"/>
    </row>
    <row r="161" spans="2:7" ht="15" x14ac:dyDescent="0.25">
      <c r="B161" s="28"/>
      <c r="C161"/>
      <c r="D161"/>
      <c r="E161" s="28"/>
      <c r="F161" s="28"/>
      <c r="G161" s="28"/>
    </row>
    <row r="162" spans="2:7" ht="15" x14ac:dyDescent="0.25">
      <c r="B162" s="28"/>
      <c r="C162"/>
      <c r="D162"/>
      <c r="E162" s="28"/>
      <c r="F162" s="28"/>
      <c r="G162" s="28"/>
    </row>
    <row r="163" spans="2:7" ht="15" x14ac:dyDescent="0.25">
      <c r="B163" s="28"/>
      <c r="C163"/>
      <c r="D163"/>
      <c r="E163" s="28"/>
      <c r="F163" s="28"/>
      <c r="G163" s="28"/>
    </row>
    <row r="164" spans="2:7" ht="15" x14ac:dyDescent="0.25">
      <c r="B164" s="28"/>
      <c r="C164"/>
      <c r="D164"/>
      <c r="E164" s="28"/>
      <c r="F164" s="28"/>
      <c r="G164" s="28"/>
    </row>
    <row r="165" spans="2:7" ht="15" x14ac:dyDescent="0.25">
      <c r="B165" s="28"/>
      <c r="C165"/>
      <c r="D165"/>
      <c r="E165" s="28"/>
      <c r="F165" s="28"/>
      <c r="G165" s="28"/>
    </row>
    <row r="166" spans="2:7" ht="15" x14ac:dyDescent="0.25">
      <c r="B166" s="28"/>
      <c r="C166"/>
      <c r="D166"/>
      <c r="E166" s="28"/>
      <c r="F166" s="28"/>
      <c r="G166" s="28"/>
    </row>
    <row r="167" spans="2:7" ht="15" x14ac:dyDescent="0.25">
      <c r="B167" s="28"/>
      <c r="C167"/>
      <c r="D167"/>
      <c r="E167" s="28"/>
      <c r="F167" s="28"/>
      <c r="G167" s="28"/>
    </row>
    <row r="168" spans="2:7" ht="15" x14ac:dyDescent="0.25">
      <c r="B168" s="28"/>
      <c r="C168"/>
      <c r="D168"/>
      <c r="E168" s="28"/>
      <c r="F168" s="28"/>
      <c r="G168" s="28"/>
    </row>
    <row r="169" spans="2:7" ht="15" x14ac:dyDescent="0.25">
      <c r="B169" s="28"/>
      <c r="C169"/>
      <c r="D169"/>
      <c r="E169" s="28"/>
      <c r="F169" s="28"/>
      <c r="G169" s="28"/>
    </row>
    <row r="170" spans="2:7" ht="15" x14ac:dyDescent="0.25">
      <c r="B170" s="28"/>
      <c r="C170"/>
      <c r="D170"/>
      <c r="E170" s="28"/>
      <c r="F170" s="28"/>
      <c r="G170" s="28"/>
    </row>
    <row r="171" spans="2:7" ht="15" x14ac:dyDescent="0.25">
      <c r="B171" s="28"/>
      <c r="C171"/>
      <c r="D171"/>
      <c r="E171" s="28"/>
      <c r="F171" s="28"/>
      <c r="G171" s="28"/>
    </row>
    <row r="172" spans="2:7" ht="15" x14ac:dyDescent="0.25">
      <c r="B172" s="28"/>
      <c r="C172"/>
      <c r="D172"/>
      <c r="E172" s="28"/>
      <c r="F172" s="28"/>
      <c r="G172" s="28"/>
    </row>
    <row r="173" spans="2:7" ht="15" x14ac:dyDescent="0.25">
      <c r="B173" s="28"/>
      <c r="C173"/>
      <c r="D173"/>
      <c r="E173" s="28"/>
      <c r="F173" s="28"/>
      <c r="G173" s="28"/>
    </row>
    <row r="174" spans="2:7" ht="15" x14ac:dyDescent="0.25">
      <c r="B174" s="28"/>
      <c r="C174"/>
      <c r="D174"/>
      <c r="E174" s="28"/>
      <c r="F174" s="28"/>
      <c r="G174" s="28"/>
    </row>
    <row r="175" spans="2:7" ht="15" x14ac:dyDescent="0.25">
      <c r="B175" s="28"/>
      <c r="C175"/>
      <c r="D175"/>
      <c r="E175" s="28"/>
      <c r="F175" s="28"/>
      <c r="G175" s="28"/>
    </row>
    <row r="176" spans="2:7" ht="15" x14ac:dyDescent="0.25">
      <c r="B176" s="28"/>
      <c r="C176"/>
      <c r="D176"/>
      <c r="E176" s="28"/>
      <c r="F176" s="28"/>
      <c r="G176" s="28"/>
    </row>
    <row r="177" spans="2:7" ht="15" x14ac:dyDescent="0.25">
      <c r="B177" s="28"/>
      <c r="C177"/>
      <c r="D177"/>
      <c r="E177" s="28"/>
      <c r="F177" s="28"/>
      <c r="G177" s="28"/>
    </row>
    <row r="178" spans="2:7" ht="15" x14ac:dyDescent="0.25">
      <c r="B178" s="28"/>
      <c r="C178"/>
      <c r="D178"/>
      <c r="E178" s="28"/>
      <c r="F178" s="28"/>
      <c r="G178" s="28"/>
    </row>
    <row r="179" spans="2:7" ht="15" x14ac:dyDescent="0.25">
      <c r="B179" s="28"/>
      <c r="C179"/>
      <c r="D179"/>
      <c r="E179" s="28"/>
      <c r="F179" s="28"/>
      <c r="G179" s="28"/>
    </row>
    <row r="180" spans="2:7" ht="15" x14ac:dyDescent="0.25">
      <c r="B180" s="28"/>
      <c r="C180"/>
      <c r="D180"/>
      <c r="E180" s="28"/>
      <c r="F180" s="28"/>
      <c r="G180" s="28"/>
    </row>
    <row r="181" spans="2:7" ht="15" x14ac:dyDescent="0.25">
      <c r="B181" s="28"/>
      <c r="C181"/>
      <c r="D181"/>
      <c r="E181" s="28"/>
      <c r="F181" s="28"/>
      <c r="G181" s="28"/>
    </row>
    <row r="182" spans="2:7" ht="15" x14ac:dyDescent="0.25">
      <c r="B182" s="28"/>
      <c r="C182"/>
      <c r="D182"/>
      <c r="E182" s="28"/>
      <c r="F182" s="28"/>
      <c r="G182" s="28"/>
    </row>
    <row r="183" spans="2:7" ht="15" x14ac:dyDescent="0.25">
      <c r="B183" s="28"/>
      <c r="C183"/>
      <c r="D183"/>
      <c r="E183" s="28"/>
      <c r="F183" s="28"/>
      <c r="G183" s="28"/>
    </row>
    <row r="184" spans="2:7" ht="15" x14ac:dyDescent="0.25">
      <c r="B184" s="28"/>
      <c r="C184"/>
      <c r="D184"/>
      <c r="E184" s="28"/>
      <c r="F184" s="28"/>
      <c r="G184" s="28"/>
    </row>
    <row r="185" spans="2:7" ht="15" x14ac:dyDescent="0.25">
      <c r="B185" s="28"/>
      <c r="C185"/>
      <c r="D185"/>
      <c r="E185" s="28"/>
      <c r="F185" s="28"/>
      <c r="G185" s="28"/>
    </row>
    <row r="186" spans="2:7" ht="15" x14ac:dyDescent="0.25">
      <c r="B186" s="28"/>
      <c r="C186"/>
      <c r="D186"/>
      <c r="E186" s="28"/>
      <c r="F186" s="28"/>
      <c r="G186" s="28"/>
    </row>
    <row r="187" spans="2:7" ht="15" x14ac:dyDescent="0.25">
      <c r="B187" s="28"/>
      <c r="C187"/>
      <c r="D187"/>
      <c r="E187" s="28"/>
      <c r="F187" s="28"/>
      <c r="G187" s="28"/>
    </row>
    <row r="188" spans="2:7" ht="15" x14ac:dyDescent="0.25">
      <c r="B188" s="28"/>
      <c r="C188"/>
      <c r="D188"/>
      <c r="E188" s="28"/>
      <c r="F188" s="28"/>
      <c r="G188" s="28"/>
    </row>
    <row r="189" spans="2:7" ht="15" x14ac:dyDescent="0.25">
      <c r="B189" s="28"/>
      <c r="C189"/>
      <c r="D189"/>
      <c r="E189" s="28"/>
      <c r="F189" s="28"/>
      <c r="G189" s="28"/>
    </row>
    <row r="190" spans="2:7" ht="15" x14ac:dyDescent="0.25">
      <c r="B190" s="28"/>
      <c r="C190"/>
      <c r="D190"/>
      <c r="E190" s="28"/>
      <c r="F190" s="28"/>
      <c r="G190" s="28"/>
    </row>
    <row r="191" spans="2:7" ht="15" x14ac:dyDescent="0.25">
      <c r="B191" s="28"/>
      <c r="C191"/>
      <c r="D191"/>
      <c r="E191" s="28"/>
      <c r="F191" s="28"/>
      <c r="G191" s="28"/>
    </row>
    <row r="192" spans="2:7" ht="15" x14ac:dyDescent="0.25">
      <c r="B192" s="28"/>
      <c r="C192"/>
      <c r="D192"/>
      <c r="E192" s="28"/>
      <c r="F192" s="28"/>
      <c r="G192" s="28"/>
    </row>
    <row r="193" spans="2:7" ht="15" x14ac:dyDescent="0.25">
      <c r="B193" s="28"/>
      <c r="C193"/>
      <c r="D193"/>
      <c r="E193" s="28"/>
      <c r="F193" s="28"/>
      <c r="G193" s="28"/>
    </row>
    <row r="194" spans="2:7" ht="15" x14ac:dyDescent="0.25">
      <c r="B194" s="28"/>
      <c r="C194"/>
      <c r="D194"/>
      <c r="E194" s="28"/>
      <c r="F194" s="28"/>
      <c r="G194" s="28"/>
    </row>
    <row r="195" spans="2:7" ht="15" x14ac:dyDescent="0.25">
      <c r="B195" s="28"/>
      <c r="C195"/>
      <c r="D195"/>
      <c r="E195" s="28"/>
      <c r="F195" s="28"/>
      <c r="G195" s="28"/>
    </row>
    <row r="196" spans="2:7" ht="15" x14ac:dyDescent="0.25">
      <c r="B196" s="28"/>
      <c r="C196"/>
      <c r="D196"/>
      <c r="E196" s="28"/>
      <c r="F196" s="28"/>
      <c r="G196" s="28"/>
    </row>
    <row r="197" spans="2:7" ht="15" x14ac:dyDescent="0.25">
      <c r="B197" s="28"/>
      <c r="C197"/>
      <c r="D197"/>
      <c r="E197" s="28"/>
      <c r="F197" s="28"/>
      <c r="G197" s="28"/>
    </row>
    <row r="198" spans="2:7" ht="15" x14ac:dyDescent="0.25">
      <c r="B198" s="28"/>
      <c r="C198"/>
      <c r="D198"/>
      <c r="E198" s="28"/>
      <c r="F198" s="28"/>
      <c r="G198" s="28"/>
    </row>
    <row r="199" spans="2:7" ht="15" x14ac:dyDescent="0.25">
      <c r="B199" s="28"/>
      <c r="C199"/>
      <c r="D199"/>
      <c r="E199" s="28"/>
      <c r="F199" s="28"/>
      <c r="G199" s="28"/>
    </row>
    <row r="200" spans="2:7" ht="15" x14ac:dyDescent="0.25">
      <c r="B200" s="28"/>
      <c r="C200"/>
      <c r="D200"/>
      <c r="E200" s="28"/>
      <c r="F200" s="28"/>
      <c r="G200" s="28"/>
    </row>
    <row r="201" spans="2:7" ht="15" x14ac:dyDescent="0.25">
      <c r="B201" s="28"/>
      <c r="C201"/>
      <c r="D201"/>
      <c r="E201" s="28"/>
      <c r="F201" s="28"/>
      <c r="G201" s="28"/>
    </row>
    <row r="202" spans="2:7" ht="15" x14ac:dyDescent="0.25">
      <c r="B202" s="28"/>
      <c r="C202"/>
      <c r="D202"/>
      <c r="E202" s="28"/>
      <c r="F202" s="28"/>
      <c r="G202" s="28"/>
    </row>
    <row r="203" spans="2:7" ht="15" x14ac:dyDescent="0.25">
      <c r="B203" s="28"/>
      <c r="C203"/>
      <c r="D203"/>
      <c r="E203" s="28"/>
      <c r="F203" s="28"/>
      <c r="G203" s="28"/>
    </row>
    <row r="204" spans="2:7" ht="15" x14ac:dyDescent="0.25">
      <c r="B204" s="28"/>
      <c r="C204"/>
      <c r="D204"/>
      <c r="E204" s="28"/>
      <c r="F204" s="28"/>
      <c r="G204" s="28"/>
    </row>
    <row r="205" spans="2:7" ht="15" x14ac:dyDescent="0.25">
      <c r="B205" s="28"/>
      <c r="C205"/>
      <c r="D205"/>
      <c r="E205" s="28"/>
      <c r="F205" s="28"/>
      <c r="G205" s="28"/>
    </row>
    <row r="206" spans="2:7" ht="15" x14ac:dyDescent="0.25">
      <c r="B206" s="28"/>
      <c r="C206"/>
      <c r="D206"/>
      <c r="E206" s="28"/>
      <c r="F206" s="28"/>
      <c r="G206" s="28"/>
    </row>
    <row r="207" spans="2:7" ht="15" x14ac:dyDescent="0.25">
      <c r="B207" s="28"/>
      <c r="C207"/>
      <c r="D207"/>
      <c r="E207" s="28"/>
      <c r="F207" s="28"/>
      <c r="G207" s="28"/>
    </row>
    <row r="208" spans="2:7" ht="15" x14ac:dyDescent="0.25">
      <c r="B208" s="28"/>
      <c r="C208"/>
      <c r="D208"/>
      <c r="E208" s="28"/>
      <c r="F208" s="28"/>
      <c r="G208" s="28"/>
    </row>
    <row r="209" spans="2:7" ht="15" x14ac:dyDescent="0.25">
      <c r="B209" s="28"/>
      <c r="C209"/>
      <c r="D209"/>
      <c r="E209" s="28"/>
      <c r="F209" s="28"/>
      <c r="G209" s="28"/>
    </row>
    <row r="210" spans="2:7" ht="15" x14ac:dyDescent="0.25">
      <c r="B210" s="28"/>
      <c r="C210"/>
      <c r="D210"/>
      <c r="E210" s="28"/>
      <c r="F210" s="28"/>
      <c r="G210" s="28"/>
    </row>
    <row r="211" spans="2:7" ht="15" x14ac:dyDescent="0.25">
      <c r="B211" s="28"/>
      <c r="C211"/>
      <c r="D211"/>
      <c r="E211" s="28"/>
      <c r="F211" s="28"/>
      <c r="G211" s="28"/>
    </row>
    <row r="212" spans="2:7" ht="15" x14ac:dyDescent="0.25">
      <c r="B212" s="28"/>
      <c r="C212"/>
      <c r="D212"/>
      <c r="E212" s="28"/>
      <c r="F212" s="28"/>
      <c r="G212" s="28"/>
    </row>
    <row r="213" spans="2:7" ht="15" x14ac:dyDescent="0.25">
      <c r="B213" s="28"/>
      <c r="C213"/>
      <c r="D213"/>
      <c r="E213" s="28"/>
      <c r="F213" s="28"/>
      <c r="G213" s="28"/>
    </row>
    <row r="214" spans="2:7" ht="15" x14ac:dyDescent="0.25">
      <c r="B214" s="28"/>
      <c r="C214"/>
      <c r="D214"/>
      <c r="E214" s="28"/>
      <c r="F214" s="28"/>
      <c r="G214" s="28"/>
    </row>
    <row r="215" spans="2:7" ht="15" x14ac:dyDescent="0.25">
      <c r="B215" s="28"/>
      <c r="C215"/>
      <c r="D215"/>
      <c r="E215" s="28"/>
      <c r="F215" s="28"/>
      <c r="G215" s="28"/>
    </row>
    <row r="216" spans="2:7" ht="15" x14ac:dyDescent="0.25">
      <c r="B216" s="28"/>
      <c r="C216"/>
      <c r="D216"/>
      <c r="E216" s="28"/>
      <c r="F216" s="28"/>
      <c r="G216" s="28"/>
    </row>
    <row r="217" spans="2:7" ht="15" x14ac:dyDescent="0.25">
      <c r="B217" s="28"/>
      <c r="C217"/>
      <c r="D217"/>
      <c r="E217" s="28"/>
      <c r="F217" s="28"/>
      <c r="G217" s="28"/>
    </row>
    <row r="218" spans="2:7" ht="15" x14ac:dyDescent="0.25">
      <c r="B218" s="28"/>
      <c r="C218"/>
      <c r="D218"/>
      <c r="E218" s="28"/>
      <c r="F218" s="28"/>
      <c r="G218" s="28"/>
    </row>
    <row r="219" spans="2:7" ht="15" x14ac:dyDescent="0.25">
      <c r="B219" s="28"/>
      <c r="C219"/>
      <c r="D219"/>
      <c r="E219" s="28"/>
      <c r="F219" s="28"/>
      <c r="G219" s="28"/>
    </row>
    <row r="220" spans="2:7" ht="15" x14ac:dyDescent="0.25">
      <c r="B220" s="28"/>
      <c r="C220"/>
      <c r="D220"/>
      <c r="E220" s="28"/>
      <c r="F220" s="28"/>
      <c r="G220" s="28"/>
    </row>
    <row r="221" spans="2:7" ht="15" x14ac:dyDescent="0.25">
      <c r="B221" s="28"/>
      <c r="C221"/>
      <c r="D221"/>
      <c r="E221" s="28"/>
      <c r="F221" s="28"/>
      <c r="G221" s="28"/>
    </row>
    <row r="222" spans="2:7" ht="15" x14ac:dyDescent="0.25">
      <c r="B222" s="28"/>
      <c r="C222"/>
      <c r="D222"/>
      <c r="E222" s="28"/>
      <c r="F222" s="28"/>
      <c r="G222" s="28"/>
    </row>
    <row r="223" spans="2:7" ht="15" x14ac:dyDescent="0.25">
      <c r="B223" s="28"/>
      <c r="C223"/>
      <c r="D223"/>
      <c r="E223" s="28"/>
      <c r="F223" s="28"/>
      <c r="G223" s="28"/>
    </row>
    <row r="224" spans="2:7" ht="15" x14ac:dyDescent="0.25">
      <c r="B224" s="28"/>
      <c r="C224"/>
      <c r="D224"/>
      <c r="E224" s="28"/>
      <c r="F224" s="28"/>
      <c r="G224" s="28"/>
    </row>
    <row r="225" spans="2:7" ht="15" x14ac:dyDescent="0.25">
      <c r="B225" s="28"/>
      <c r="C225"/>
      <c r="D225"/>
      <c r="E225" s="28"/>
      <c r="F225" s="28"/>
      <c r="G225" s="28"/>
    </row>
    <row r="226" spans="2:7" ht="15" x14ac:dyDescent="0.25">
      <c r="B226" s="28"/>
      <c r="C226"/>
      <c r="D226"/>
      <c r="E226" s="28"/>
      <c r="F226" s="28"/>
      <c r="G226" s="28"/>
    </row>
    <row r="227" spans="2:7" ht="15" x14ac:dyDescent="0.25">
      <c r="B227" s="28"/>
      <c r="C227"/>
      <c r="D227"/>
      <c r="E227" s="28"/>
      <c r="F227" s="28"/>
      <c r="G227" s="28"/>
    </row>
    <row r="228" spans="2:7" ht="15" x14ac:dyDescent="0.25">
      <c r="B228" s="28"/>
      <c r="C228"/>
      <c r="D228"/>
      <c r="E228" s="28"/>
      <c r="F228" s="28"/>
      <c r="G228" s="28"/>
    </row>
    <row r="229" spans="2:7" ht="15" x14ac:dyDescent="0.25">
      <c r="B229" s="28"/>
      <c r="C229"/>
      <c r="D229"/>
      <c r="E229" s="28"/>
      <c r="F229" s="28"/>
      <c r="G229" s="28"/>
    </row>
    <row r="230" spans="2:7" ht="15" x14ac:dyDescent="0.25">
      <c r="B230" s="28"/>
      <c r="C230"/>
      <c r="D230"/>
      <c r="E230" s="28"/>
      <c r="F230" s="28"/>
      <c r="G230" s="28"/>
    </row>
    <row r="231" spans="2:7" ht="15" x14ac:dyDescent="0.25">
      <c r="B231" s="28"/>
      <c r="C231"/>
      <c r="D231"/>
      <c r="E231" s="28"/>
      <c r="F231" s="28"/>
      <c r="G231" s="28"/>
    </row>
    <row r="232" spans="2:7" ht="15" x14ac:dyDescent="0.25">
      <c r="B232" s="28"/>
      <c r="C232"/>
      <c r="D232"/>
      <c r="E232" s="28"/>
      <c r="F232" s="28"/>
      <c r="G232" s="28"/>
    </row>
    <row r="233" spans="2:7" ht="15" x14ac:dyDescent="0.25">
      <c r="B233" s="28"/>
      <c r="C233"/>
      <c r="D233"/>
      <c r="E233" s="28"/>
      <c r="F233" s="28"/>
      <c r="G233" s="28"/>
    </row>
    <row r="234" spans="2:7" ht="15" x14ac:dyDescent="0.25">
      <c r="B234" s="28"/>
      <c r="C234"/>
      <c r="D234"/>
      <c r="E234" s="28"/>
      <c r="F234" s="28"/>
      <c r="G234" s="28"/>
    </row>
    <row r="235" spans="2:7" ht="15" x14ac:dyDescent="0.25">
      <c r="B235" s="28"/>
      <c r="C235"/>
      <c r="D235"/>
      <c r="E235" s="28"/>
      <c r="F235" s="28"/>
      <c r="G235" s="28"/>
    </row>
    <row r="236" spans="2:7" ht="15" x14ac:dyDescent="0.25">
      <c r="B236" s="28"/>
      <c r="C236"/>
      <c r="D236"/>
      <c r="E236" s="28"/>
      <c r="F236" s="28"/>
      <c r="G236" s="28"/>
    </row>
    <row r="237" spans="2:7" ht="15" x14ac:dyDescent="0.25">
      <c r="B237" s="28"/>
      <c r="C237"/>
      <c r="D237"/>
      <c r="E237" s="28"/>
      <c r="F237" s="28"/>
      <c r="G237" s="28"/>
    </row>
    <row r="238" spans="2:7" ht="15" x14ac:dyDescent="0.25">
      <c r="B238" s="28"/>
      <c r="C238"/>
      <c r="D238"/>
      <c r="E238" s="28"/>
      <c r="F238" s="28"/>
      <c r="G238" s="28"/>
    </row>
    <row r="239" spans="2:7" ht="15" x14ac:dyDescent="0.25">
      <c r="B239" s="28"/>
      <c r="C239"/>
      <c r="D239"/>
      <c r="E239" s="28"/>
      <c r="F239" s="28"/>
      <c r="G239" s="28"/>
    </row>
    <row r="240" spans="2:7" ht="15" x14ac:dyDescent="0.25">
      <c r="B240" s="28"/>
      <c r="C240"/>
      <c r="D240"/>
      <c r="E240" s="28"/>
      <c r="F240" s="28"/>
      <c r="G240" s="28"/>
    </row>
    <row r="241" spans="2:7" ht="15" x14ac:dyDescent="0.25">
      <c r="B241" s="28"/>
      <c r="C241"/>
      <c r="D241"/>
      <c r="E241" s="28"/>
      <c r="F241" s="28"/>
      <c r="G241" s="28"/>
    </row>
    <row r="242" spans="2:7" ht="15" x14ac:dyDescent="0.25">
      <c r="B242" s="28"/>
      <c r="C242"/>
      <c r="D242"/>
      <c r="E242" s="28"/>
      <c r="F242" s="28"/>
      <c r="G242" s="28"/>
    </row>
    <row r="243" spans="2:7" ht="15" x14ac:dyDescent="0.25">
      <c r="B243" s="28"/>
      <c r="C243"/>
      <c r="D243"/>
      <c r="E243" s="28"/>
      <c r="F243" s="28"/>
      <c r="G243" s="28"/>
    </row>
    <row r="244" spans="2:7" ht="15" x14ac:dyDescent="0.25">
      <c r="B244" s="28"/>
      <c r="C244"/>
      <c r="D244"/>
      <c r="E244" s="28"/>
      <c r="F244" s="28"/>
      <c r="G244" s="28"/>
    </row>
    <row r="245" spans="2:7" ht="15" x14ac:dyDescent="0.25">
      <c r="B245" s="28"/>
      <c r="C245"/>
      <c r="D245"/>
      <c r="E245" s="28"/>
      <c r="F245" s="28"/>
      <c r="G245" s="28"/>
    </row>
    <row r="246" spans="2:7" ht="15" x14ac:dyDescent="0.25">
      <c r="B246" s="28"/>
      <c r="C246"/>
      <c r="D246"/>
      <c r="E246" s="28"/>
      <c r="F246" s="28"/>
      <c r="G246" s="28"/>
    </row>
    <row r="247" spans="2:7" ht="15" x14ac:dyDescent="0.25">
      <c r="B247" s="28"/>
      <c r="C247"/>
      <c r="D247"/>
      <c r="E247" s="28"/>
      <c r="F247" s="28"/>
      <c r="G247" s="28"/>
    </row>
    <row r="248" spans="2:7" ht="15" x14ac:dyDescent="0.25">
      <c r="B248" s="28"/>
      <c r="C248"/>
      <c r="D248"/>
      <c r="E248" s="28"/>
      <c r="F248" s="28"/>
      <c r="G248" s="28"/>
    </row>
    <row r="249" spans="2:7" ht="15" x14ac:dyDescent="0.25">
      <c r="B249" s="28"/>
      <c r="C249"/>
      <c r="D249"/>
      <c r="E249" s="28"/>
      <c r="F249" s="28"/>
      <c r="G249" s="28"/>
    </row>
    <row r="250" spans="2:7" ht="15" x14ac:dyDescent="0.25">
      <c r="B250" s="28"/>
      <c r="C250"/>
      <c r="D250"/>
      <c r="E250" s="28"/>
      <c r="F250" s="28"/>
      <c r="G250" s="28"/>
    </row>
    <row r="251" spans="2:7" ht="15" x14ac:dyDescent="0.25">
      <c r="B251" s="28"/>
      <c r="C251"/>
      <c r="D251"/>
      <c r="E251" s="28"/>
      <c r="F251" s="28"/>
      <c r="G251" s="28"/>
    </row>
    <row r="252" spans="2:7" ht="15" x14ac:dyDescent="0.25">
      <c r="B252" s="28"/>
      <c r="C252"/>
      <c r="D252"/>
      <c r="E252" s="28"/>
      <c r="F252" s="28"/>
      <c r="G252" s="28"/>
    </row>
    <row r="253" spans="2:7" ht="15" x14ac:dyDescent="0.25">
      <c r="B253" s="28"/>
      <c r="C253"/>
      <c r="D253"/>
      <c r="E253" s="28"/>
      <c r="F253" s="28"/>
      <c r="G253" s="28"/>
    </row>
    <row r="254" spans="2:7" ht="15" x14ac:dyDescent="0.25">
      <c r="B254" s="28"/>
      <c r="C254"/>
      <c r="D254"/>
      <c r="E254" s="28"/>
      <c r="F254" s="28"/>
      <c r="G254" s="28"/>
    </row>
    <row r="255" spans="2:7" ht="15" x14ac:dyDescent="0.25">
      <c r="B255" s="28"/>
      <c r="C255"/>
      <c r="D255"/>
      <c r="E255" s="28"/>
      <c r="F255" s="28"/>
      <c r="G255" s="28"/>
    </row>
    <row r="256" spans="2:7" ht="15" x14ac:dyDescent="0.25">
      <c r="B256" s="28"/>
      <c r="C256"/>
      <c r="D256"/>
      <c r="E256" s="28"/>
      <c r="F256" s="28"/>
      <c r="G256" s="28"/>
    </row>
    <row r="257" spans="2:7" ht="15" x14ac:dyDescent="0.25">
      <c r="B257" s="28"/>
      <c r="C257"/>
      <c r="D257"/>
      <c r="E257" s="28"/>
      <c r="F257" s="28"/>
      <c r="G257" s="28"/>
    </row>
    <row r="258" spans="2:7" ht="15" x14ac:dyDescent="0.25">
      <c r="B258" s="28"/>
      <c r="C258"/>
      <c r="D258"/>
      <c r="E258" s="28"/>
      <c r="F258" s="28"/>
      <c r="G258" s="28"/>
    </row>
    <row r="259" spans="2:7" ht="15" x14ac:dyDescent="0.25">
      <c r="B259" s="28"/>
      <c r="C259"/>
      <c r="D259"/>
      <c r="E259" s="28"/>
      <c r="F259" s="28"/>
      <c r="G259" s="28"/>
    </row>
    <row r="260" spans="2:7" ht="15" x14ac:dyDescent="0.25">
      <c r="B260" s="28"/>
      <c r="C260"/>
      <c r="D260"/>
      <c r="E260" s="28"/>
      <c r="F260" s="28"/>
      <c r="G260" s="28"/>
    </row>
    <row r="261" spans="2:7" ht="15" x14ac:dyDescent="0.25">
      <c r="B261" s="28"/>
      <c r="C261"/>
      <c r="D261"/>
      <c r="E261" s="28"/>
      <c r="F261" s="28"/>
      <c r="G261" s="28"/>
    </row>
    <row r="262" spans="2:7" ht="15" x14ac:dyDescent="0.25">
      <c r="B262" s="28"/>
      <c r="C262"/>
      <c r="D262"/>
      <c r="E262" s="28"/>
      <c r="F262" s="28"/>
      <c r="G262" s="28"/>
    </row>
    <row r="263" spans="2:7" ht="15" x14ac:dyDescent="0.25">
      <c r="B263" s="28"/>
      <c r="C263"/>
      <c r="D263"/>
      <c r="E263" s="28"/>
      <c r="F263" s="28"/>
      <c r="G263" s="28"/>
    </row>
    <row r="264" spans="2:7" ht="15" x14ac:dyDescent="0.25">
      <c r="B264" s="28"/>
      <c r="C264"/>
      <c r="D264"/>
      <c r="E264" s="28"/>
      <c r="F264" s="28"/>
      <c r="G264" s="28"/>
    </row>
    <row r="265" spans="2:7" ht="15" x14ac:dyDescent="0.25">
      <c r="B265" s="28"/>
      <c r="C265"/>
      <c r="D265"/>
      <c r="E265" s="28"/>
      <c r="F265" s="28"/>
      <c r="G265" s="28"/>
    </row>
    <row r="266" spans="2:7" ht="15" x14ac:dyDescent="0.25">
      <c r="B266" s="28"/>
      <c r="C266"/>
      <c r="D266"/>
      <c r="E266" s="28"/>
      <c r="F266" s="28"/>
      <c r="G266" s="28"/>
    </row>
    <row r="267" spans="2:7" ht="15" x14ac:dyDescent="0.25">
      <c r="B267" s="28"/>
      <c r="C267"/>
      <c r="D267"/>
      <c r="E267" s="28"/>
      <c r="F267" s="28"/>
      <c r="G267" s="28"/>
    </row>
    <row r="268" spans="2:7" ht="15" x14ac:dyDescent="0.25">
      <c r="B268" s="28"/>
      <c r="C268"/>
      <c r="D268"/>
      <c r="E268" s="28"/>
      <c r="F268" s="28"/>
      <c r="G268" s="28"/>
    </row>
    <row r="269" spans="2:7" ht="15" x14ac:dyDescent="0.25">
      <c r="B269" s="28"/>
      <c r="C269"/>
      <c r="D269"/>
      <c r="E269" s="28"/>
      <c r="F269" s="28"/>
      <c r="G269" s="28"/>
    </row>
    <row r="270" spans="2:7" ht="15" x14ac:dyDescent="0.25">
      <c r="B270" s="28"/>
      <c r="C270"/>
      <c r="D270"/>
      <c r="E270" s="28"/>
      <c r="F270" s="28"/>
      <c r="G270" s="28"/>
    </row>
    <row r="271" spans="2:7" ht="15" x14ac:dyDescent="0.25">
      <c r="B271" s="28"/>
      <c r="C271"/>
      <c r="D271"/>
      <c r="E271" s="28"/>
      <c r="F271" s="28"/>
      <c r="G271" s="28"/>
    </row>
    <row r="272" spans="2:7" ht="15" x14ac:dyDescent="0.25">
      <c r="B272" s="28"/>
      <c r="C272"/>
      <c r="D272"/>
      <c r="E272" s="28"/>
      <c r="F272" s="28"/>
      <c r="G272" s="28"/>
    </row>
    <row r="273" spans="2:7" ht="15" x14ac:dyDescent="0.25">
      <c r="B273" s="28"/>
      <c r="C273"/>
      <c r="D273"/>
      <c r="E273" s="28"/>
      <c r="F273" s="28"/>
      <c r="G273" s="28"/>
    </row>
    <row r="274" spans="2:7" ht="15" x14ac:dyDescent="0.25">
      <c r="B274" s="28"/>
      <c r="C274"/>
      <c r="D274"/>
      <c r="E274" s="28"/>
      <c r="F274" s="28"/>
      <c r="G274" s="28"/>
    </row>
    <row r="275" spans="2:7" ht="15" x14ac:dyDescent="0.25">
      <c r="B275" s="28"/>
      <c r="C275"/>
      <c r="D275"/>
      <c r="E275" s="28"/>
      <c r="F275" s="28"/>
      <c r="G275" s="28"/>
    </row>
    <row r="276" spans="2:7" ht="15" x14ac:dyDescent="0.25">
      <c r="B276" s="28"/>
      <c r="C276"/>
      <c r="D276"/>
      <c r="E276" s="28"/>
      <c r="F276" s="28"/>
      <c r="G276" s="28"/>
    </row>
    <row r="277" spans="2:7" ht="15" x14ac:dyDescent="0.25">
      <c r="B277" s="28"/>
      <c r="C277"/>
      <c r="D277"/>
      <c r="E277" s="28"/>
      <c r="F277" s="28"/>
      <c r="G277" s="28"/>
    </row>
    <row r="278" spans="2:7" ht="15" x14ac:dyDescent="0.25">
      <c r="B278" s="28"/>
      <c r="C278"/>
      <c r="D278"/>
      <c r="E278" s="28"/>
      <c r="F278" s="28"/>
      <c r="G278" s="28"/>
    </row>
    <row r="279" spans="2:7" ht="15" x14ac:dyDescent="0.25">
      <c r="B279" s="28"/>
      <c r="C279"/>
      <c r="D279"/>
      <c r="E279" s="28"/>
      <c r="F279" s="28"/>
      <c r="G279" s="28"/>
    </row>
    <row r="280" spans="2:7" ht="15" x14ac:dyDescent="0.25">
      <c r="B280" s="28"/>
      <c r="C280"/>
      <c r="D280"/>
      <c r="E280" s="28"/>
      <c r="F280" s="28"/>
      <c r="G280" s="28"/>
    </row>
    <row r="281" spans="2:7" ht="15" x14ac:dyDescent="0.25">
      <c r="B281" s="28"/>
      <c r="C281"/>
      <c r="D281"/>
      <c r="E281" s="28"/>
      <c r="F281" s="28"/>
      <c r="G281" s="28"/>
    </row>
    <row r="282" spans="2:7" ht="15" x14ac:dyDescent="0.25">
      <c r="B282" s="28"/>
      <c r="C282"/>
      <c r="D282"/>
      <c r="E282" s="28"/>
      <c r="F282" s="28"/>
      <c r="G282" s="28"/>
    </row>
    <row r="283" spans="2:7" ht="15" x14ac:dyDescent="0.25">
      <c r="B283" s="28"/>
      <c r="C283"/>
      <c r="D283"/>
      <c r="E283" s="28"/>
      <c r="F283" s="28"/>
      <c r="G283" s="28"/>
    </row>
    <row r="284" spans="2:7" ht="15" x14ac:dyDescent="0.25">
      <c r="B284" s="28"/>
      <c r="C284"/>
      <c r="D284"/>
      <c r="E284" s="28"/>
      <c r="F284" s="28"/>
      <c r="G284" s="28"/>
    </row>
    <row r="285" spans="2:7" ht="15" x14ac:dyDescent="0.25">
      <c r="B285" s="28"/>
      <c r="C285"/>
      <c r="D285"/>
      <c r="E285" s="28"/>
      <c r="F285" s="28"/>
      <c r="G285" s="28"/>
    </row>
    <row r="286" spans="2:7" ht="15" x14ac:dyDescent="0.25">
      <c r="B286" s="28"/>
      <c r="C286"/>
      <c r="D286"/>
      <c r="E286" s="28"/>
      <c r="F286" s="28"/>
      <c r="G286" s="28"/>
    </row>
    <row r="287" spans="2:7" ht="15" x14ac:dyDescent="0.25">
      <c r="B287" s="28"/>
      <c r="C287"/>
      <c r="D287"/>
      <c r="E287" s="28"/>
      <c r="F287" s="28"/>
      <c r="G287" s="28"/>
    </row>
    <row r="288" spans="2:7" ht="15" x14ac:dyDescent="0.25">
      <c r="B288" s="28"/>
      <c r="C288"/>
      <c r="D288"/>
      <c r="E288" s="28"/>
      <c r="F288" s="28"/>
      <c r="G288" s="28"/>
    </row>
    <row r="289" spans="2:7" ht="15" x14ac:dyDescent="0.25">
      <c r="B289" s="28"/>
      <c r="C289"/>
      <c r="D289"/>
      <c r="E289" s="28"/>
      <c r="F289" s="28"/>
      <c r="G289" s="28"/>
    </row>
    <row r="290" spans="2:7" ht="15" x14ac:dyDescent="0.25">
      <c r="B290" s="28"/>
      <c r="C290"/>
      <c r="D290"/>
      <c r="E290" s="28"/>
      <c r="F290" s="28"/>
      <c r="G290" s="28"/>
    </row>
    <row r="291" spans="2:7" ht="15" x14ac:dyDescent="0.25">
      <c r="B291" s="28"/>
      <c r="C291"/>
      <c r="D291"/>
      <c r="E291" s="28"/>
      <c r="F291" s="28"/>
      <c r="G291" s="28"/>
    </row>
    <row r="292" spans="2:7" ht="15" x14ac:dyDescent="0.25">
      <c r="B292" s="28"/>
      <c r="C292"/>
      <c r="D292"/>
      <c r="E292" s="28"/>
      <c r="F292" s="28"/>
      <c r="G292" s="28"/>
    </row>
    <row r="293" spans="2:7" ht="15" x14ac:dyDescent="0.25">
      <c r="B293" s="28"/>
      <c r="C293"/>
      <c r="D293"/>
      <c r="E293" s="28"/>
      <c r="F293" s="28"/>
      <c r="G293" s="28"/>
    </row>
    <row r="294" spans="2:7" ht="15" x14ac:dyDescent="0.25">
      <c r="B294" s="28"/>
      <c r="C294"/>
      <c r="D294"/>
      <c r="E294" s="28"/>
      <c r="F294" s="28"/>
      <c r="G294" s="28"/>
    </row>
    <row r="295" spans="2:7" ht="15" x14ac:dyDescent="0.25">
      <c r="B295" s="28"/>
      <c r="C295"/>
      <c r="D295"/>
      <c r="E295" s="28"/>
      <c r="F295" s="28"/>
      <c r="G295" s="28"/>
    </row>
    <row r="296" spans="2:7" ht="15" x14ac:dyDescent="0.25">
      <c r="B296" s="28"/>
      <c r="C296"/>
      <c r="D296"/>
      <c r="E296" s="28"/>
      <c r="F296" s="28"/>
      <c r="G296" s="28"/>
    </row>
    <row r="297" spans="2:7" ht="15" x14ac:dyDescent="0.25">
      <c r="B297" s="28"/>
      <c r="C297"/>
      <c r="D297"/>
      <c r="E297" s="28"/>
      <c r="F297" s="28"/>
      <c r="G297" s="28"/>
    </row>
    <row r="298" spans="2:7" ht="15" x14ac:dyDescent="0.25">
      <c r="B298" s="28"/>
      <c r="C298"/>
      <c r="D298"/>
      <c r="E298" s="28"/>
      <c r="F298" s="28"/>
      <c r="G298" s="28"/>
    </row>
    <row r="299" spans="2:7" ht="15" x14ac:dyDescent="0.25">
      <c r="B299" s="28"/>
      <c r="C299"/>
      <c r="D299"/>
      <c r="E299" s="28"/>
      <c r="F299" s="28"/>
      <c r="G299" s="28"/>
    </row>
    <row r="300" spans="2:7" ht="15" x14ac:dyDescent="0.25">
      <c r="B300" s="28"/>
      <c r="C300"/>
      <c r="D300"/>
      <c r="E300" s="28"/>
      <c r="F300" s="28"/>
      <c r="G300" s="28"/>
    </row>
    <row r="301" spans="2:7" ht="15" x14ac:dyDescent="0.25">
      <c r="B301" s="28"/>
      <c r="C301"/>
      <c r="D301"/>
      <c r="E301" s="28"/>
      <c r="F301" s="28"/>
      <c r="G301" s="28"/>
    </row>
    <row r="302" spans="2:7" ht="15" x14ac:dyDescent="0.25">
      <c r="B302" s="28"/>
      <c r="C302"/>
      <c r="D302"/>
      <c r="E302" s="28"/>
      <c r="F302" s="28"/>
      <c r="G302" s="28"/>
    </row>
    <row r="303" spans="2:7" ht="15" x14ac:dyDescent="0.25">
      <c r="B303" s="28"/>
      <c r="C303"/>
      <c r="D303"/>
      <c r="E303" s="28"/>
      <c r="F303" s="28"/>
      <c r="G303" s="28"/>
    </row>
    <row r="304" spans="2:7" ht="15" x14ac:dyDescent="0.25">
      <c r="B304" s="28"/>
      <c r="C304"/>
      <c r="D304"/>
      <c r="E304" s="28"/>
      <c r="F304" s="28"/>
      <c r="G304" s="28"/>
    </row>
    <row r="305" spans="2:7" ht="15" x14ac:dyDescent="0.25">
      <c r="B305" s="28"/>
      <c r="C305"/>
      <c r="D305"/>
      <c r="E305" s="28"/>
      <c r="F305" s="28"/>
      <c r="G305" s="28"/>
    </row>
    <row r="306" spans="2:7" ht="15" x14ac:dyDescent="0.25">
      <c r="B306" s="28"/>
      <c r="C306"/>
      <c r="D306"/>
      <c r="E306" s="28"/>
      <c r="F306" s="28"/>
      <c r="G306" s="28"/>
    </row>
    <row r="307" spans="2:7" ht="15" x14ac:dyDescent="0.25">
      <c r="B307" s="28"/>
      <c r="C307"/>
      <c r="D307"/>
      <c r="E307" s="28"/>
      <c r="F307" s="28"/>
      <c r="G307" s="28"/>
    </row>
    <row r="308" spans="2:7" ht="15" x14ac:dyDescent="0.25">
      <c r="B308" s="28"/>
      <c r="C308"/>
      <c r="D308"/>
      <c r="E308" s="28"/>
      <c r="F308" s="28"/>
      <c r="G308" s="28"/>
    </row>
    <row r="309" spans="2:7" ht="15" x14ac:dyDescent="0.25">
      <c r="B309" s="28"/>
      <c r="C309"/>
      <c r="D309"/>
      <c r="E309" s="28"/>
      <c r="F309" s="28"/>
      <c r="G309" s="28"/>
    </row>
    <row r="310" spans="2:7" ht="15" x14ac:dyDescent="0.25">
      <c r="B310" s="28"/>
      <c r="C310"/>
      <c r="D310"/>
      <c r="E310" s="28"/>
      <c r="F310" s="28"/>
      <c r="G310" s="28"/>
    </row>
    <row r="311" spans="2:7" ht="15" x14ac:dyDescent="0.25">
      <c r="B311" s="28"/>
      <c r="C311"/>
      <c r="D311"/>
      <c r="E311" s="28"/>
      <c r="F311" s="28"/>
      <c r="G311" s="28"/>
    </row>
    <row r="312" spans="2:7" ht="15" x14ac:dyDescent="0.25">
      <c r="B312" s="28"/>
      <c r="C312"/>
      <c r="D312"/>
      <c r="E312" s="28"/>
      <c r="F312" s="28"/>
      <c r="G312" s="28"/>
    </row>
    <row r="313" spans="2:7" ht="15" x14ac:dyDescent="0.25">
      <c r="B313" s="28"/>
      <c r="C313"/>
      <c r="D313"/>
      <c r="E313" s="28"/>
      <c r="F313" s="28"/>
      <c r="G313" s="28"/>
    </row>
    <row r="314" spans="2:7" ht="15" x14ac:dyDescent="0.25">
      <c r="B314" s="28"/>
      <c r="C314"/>
      <c r="D314"/>
      <c r="E314" s="28"/>
      <c r="F314" s="28"/>
      <c r="G314" s="28"/>
    </row>
    <row r="315" spans="2:7" ht="15" x14ac:dyDescent="0.25">
      <c r="B315" s="28"/>
      <c r="C315"/>
      <c r="D315"/>
      <c r="E315" s="28"/>
      <c r="F315" s="28"/>
      <c r="G315" s="28"/>
    </row>
    <row r="316" spans="2:7" ht="15" x14ac:dyDescent="0.25">
      <c r="B316" s="28"/>
      <c r="C316"/>
      <c r="D316"/>
      <c r="E316" s="28"/>
      <c r="F316" s="28"/>
      <c r="G316" s="28"/>
    </row>
    <row r="317" spans="2:7" ht="15" x14ac:dyDescent="0.25">
      <c r="B317" s="28"/>
      <c r="C317"/>
      <c r="D317"/>
      <c r="E317" s="28"/>
      <c r="F317" s="28"/>
      <c r="G317" s="28"/>
    </row>
    <row r="318" spans="2:7" ht="15" x14ac:dyDescent="0.25">
      <c r="B318" s="28"/>
      <c r="C318"/>
      <c r="D318"/>
      <c r="E318" s="28"/>
      <c r="F318" s="28"/>
      <c r="G318" s="28"/>
    </row>
    <row r="319" spans="2:7" ht="15" x14ac:dyDescent="0.25">
      <c r="B319" s="28"/>
      <c r="C319"/>
      <c r="D319"/>
      <c r="E319" s="28"/>
      <c r="F319" s="28"/>
      <c r="G319" s="28"/>
    </row>
    <row r="320" spans="2:7" ht="15" x14ac:dyDescent="0.25">
      <c r="B320" s="28"/>
      <c r="C320"/>
      <c r="D320"/>
      <c r="E320" s="28"/>
      <c r="F320" s="28"/>
      <c r="G320" s="28"/>
    </row>
    <row r="321" spans="2:7" ht="15" x14ac:dyDescent="0.25">
      <c r="B321" s="28"/>
      <c r="C321"/>
      <c r="D321"/>
      <c r="E321" s="28"/>
      <c r="F321" s="28"/>
      <c r="G321" s="28"/>
    </row>
    <row r="322" spans="2:7" ht="15" x14ac:dyDescent="0.25">
      <c r="B322" s="28"/>
      <c r="C322"/>
      <c r="D322"/>
      <c r="E322" s="28"/>
      <c r="F322" s="28"/>
      <c r="G322" s="28"/>
    </row>
    <row r="323" spans="2:7" ht="15" x14ac:dyDescent="0.25">
      <c r="B323" s="28"/>
      <c r="C323"/>
      <c r="D323"/>
      <c r="E323" s="28"/>
      <c r="F323" s="28"/>
      <c r="G323" s="28"/>
    </row>
    <row r="324" spans="2:7" ht="15" x14ac:dyDescent="0.25">
      <c r="B324" s="28"/>
      <c r="C324"/>
      <c r="D324"/>
      <c r="E324" s="28"/>
      <c r="F324" s="28"/>
      <c r="G324" s="28"/>
    </row>
    <row r="325" spans="2:7" ht="15" x14ac:dyDescent="0.25">
      <c r="B325" s="28"/>
      <c r="C325"/>
      <c r="D325"/>
      <c r="E325" s="28"/>
      <c r="F325" s="28"/>
      <c r="G325" s="28"/>
    </row>
    <row r="326" spans="2:7" ht="15" x14ac:dyDescent="0.25">
      <c r="B326" s="28"/>
      <c r="C326"/>
      <c r="D326"/>
      <c r="E326" s="28"/>
      <c r="F326" s="28"/>
      <c r="G326" s="28"/>
    </row>
    <row r="327" spans="2:7" ht="15" x14ac:dyDescent="0.25">
      <c r="B327" s="28"/>
      <c r="C327"/>
      <c r="D327"/>
      <c r="E327" s="28"/>
      <c r="F327" s="28"/>
      <c r="G327" s="28"/>
    </row>
    <row r="328" spans="2:7" ht="15" x14ac:dyDescent="0.25">
      <c r="B328" s="28"/>
      <c r="C328"/>
      <c r="D328"/>
      <c r="E328" s="28"/>
      <c r="F328" s="28"/>
      <c r="G328" s="28"/>
    </row>
    <row r="329" spans="2:7" ht="15" x14ac:dyDescent="0.25">
      <c r="B329" s="28"/>
      <c r="C329"/>
      <c r="D329"/>
      <c r="E329" s="28"/>
      <c r="F329" s="28"/>
      <c r="G329" s="28"/>
    </row>
    <row r="330" spans="2:7" ht="15" x14ac:dyDescent="0.25">
      <c r="B330" s="28"/>
      <c r="C330"/>
      <c r="D330"/>
      <c r="E330" s="28"/>
      <c r="F330" s="28"/>
      <c r="G330" s="28"/>
    </row>
    <row r="331" spans="2:7" ht="15" x14ac:dyDescent="0.25">
      <c r="B331" s="28"/>
      <c r="C331"/>
      <c r="D331"/>
      <c r="E331" s="28"/>
      <c r="F331" s="28"/>
      <c r="G331" s="28"/>
    </row>
    <row r="332" spans="2:7" ht="15" x14ac:dyDescent="0.25">
      <c r="B332" s="28"/>
      <c r="C332"/>
      <c r="D332"/>
      <c r="E332" s="28"/>
      <c r="F332" s="28"/>
      <c r="G332" s="28"/>
    </row>
    <row r="333" spans="2:7" ht="15" x14ac:dyDescent="0.25">
      <c r="B333" s="28"/>
      <c r="C333"/>
      <c r="D333"/>
      <c r="E333" s="28"/>
      <c r="F333" s="28"/>
      <c r="G333" s="28"/>
    </row>
    <row r="334" spans="2:7" ht="15" x14ac:dyDescent="0.25">
      <c r="B334" s="28"/>
      <c r="C334"/>
      <c r="D334"/>
      <c r="E334" s="28"/>
      <c r="F334" s="28"/>
      <c r="G334" s="28"/>
    </row>
    <row r="335" spans="2:7" ht="15" x14ac:dyDescent="0.25">
      <c r="B335" s="28"/>
      <c r="C335"/>
      <c r="D335"/>
      <c r="E335" s="28"/>
      <c r="F335" s="28"/>
      <c r="G335" s="28"/>
    </row>
    <row r="336" spans="2:7" ht="15" x14ac:dyDescent="0.25">
      <c r="B336" s="28"/>
      <c r="C336"/>
      <c r="D336"/>
      <c r="E336" s="28"/>
      <c r="F336" s="28"/>
      <c r="G336" s="28"/>
    </row>
    <row r="337" spans="2:7" ht="15" x14ac:dyDescent="0.25">
      <c r="B337" s="28"/>
      <c r="C337"/>
      <c r="D337"/>
      <c r="E337" s="28"/>
      <c r="F337" s="28"/>
      <c r="G337" s="28"/>
    </row>
    <row r="338" spans="2:7" ht="15" x14ac:dyDescent="0.25">
      <c r="B338" s="28"/>
      <c r="C338"/>
      <c r="D338"/>
      <c r="E338" s="28"/>
      <c r="F338" s="28"/>
      <c r="G338" s="28"/>
    </row>
    <row r="339" spans="2:7" ht="15" x14ac:dyDescent="0.25">
      <c r="B339" s="28"/>
      <c r="C339"/>
      <c r="D339"/>
      <c r="E339" s="28"/>
      <c r="F339" s="28"/>
      <c r="G339" s="28"/>
    </row>
    <row r="340" spans="2:7" ht="15" x14ac:dyDescent="0.25">
      <c r="B340" s="28"/>
      <c r="C340"/>
      <c r="D340"/>
      <c r="E340" s="28"/>
      <c r="F340" s="28"/>
      <c r="G340" s="28"/>
    </row>
    <row r="341" spans="2:7" ht="15" x14ac:dyDescent="0.25">
      <c r="B341" s="28"/>
      <c r="C341"/>
      <c r="D341"/>
      <c r="E341" s="28"/>
      <c r="F341" s="28"/>
      <c r="G341" s="28"/>
    </row>
    <row r="342" spans="2:7" ht="15" x14ac:dyDescent="0.25">
      <c r="B342" s="28"/>
      <c r="C342"/>
      <c r="D342"/>
      <c r="E342" s="28"/>
      <c r="F342" s="28"/>
      <c r="G342" s="28"/>
    </row>
    <row r="343" spans="2:7" ht="15" x14ac:dyDescent="0.25">
      <c r="B343" s="28"/>
      <c r="C343"/>
      <c r="D343"/>
      <c r="E343" s="28"/>
      <c r="F343" s="28"/>
      <c r="G343" s="28"/>
    </row>
    <row r="344" spans="2:7" ht="15" x14ac:dyDescent="0.25">
      <c r="B344" s="28"/>
      <c r="C344"/>
      <c r="D344"/>
      <c r="E344" s="28"/>
      <c r="F344" s="28"/>
      <c r="G344" s="28"/>
    </row>
    <row r="345" spans="2:7" ht="15" x14ac:dyDescent="0.25">
      <c r="B345" s="28"/>
      <c r="C345"/>
      <c r="D345"/>
      <c r="E345" s="28"/>
      <c r="F345" s="28"/>
      <c r="G345" s="28"/>
    </row>
    <row r="346" spans="2:7" ht="15" x14ac:dyDescent="0.25">
      <c r="B346" s="28"/>
      <c r="C346"/>
      <c r="D346"/>
      <c r="E346" s="28"/>
      <c r="F346" s="28"/>
      <c r="G346" s="28"/>
    </row>
    <row r="347" spans="2:7" ht="15" x14ac:dyDescent="0.25">
      <c r="B347" s="28"/>
      <c r="C347"/>
      <c r="D347"/>
      <c r="E347" s="28"/>
      <c r="F347" s="28"/>
      <c r="G347" s="28"/>
    </row>
    <row r="348" spans="2:7" ht="15" x14ac:dyDescent="0.25">
      <c r="B348" s="28"/>
      <c r="C348"/>
      <c r="D348"/>
      <c r="E348" s="28"/>
      <c r="F348" s="28"/>
      <c r="G348" s="28"/>
    </row>
    <row r="349" spans="2:7" ht="15" x14ac:dyDescent="0.25">
      <c r="B349" s="28"/>
      <c r="C349"/>
      <c r="D349"/>
      <c r="E349" s="28"/>
      <c r="F349" s="28"/>
      <c r="G349" s="28"/>
    </row>
    <row r="350" spans="2:7" ht="15" x14ac:dyDescent="0.25">
      <c r="B350" s="28"/>
      <c r="C350"/>
      <c r="D350"/>
      <c r="E350" s="28"/>
      <c r="F350" s="28"/>
      <c r="G350" s="28"/>
    </row>
    <row r="351" spans="2:7" ht="15" x14ac:dyDescent="0.25">
      <c r="B351" s="28"/>
      <c r="C351"/>
      <c r="D351"/>
      <c r="E351" s="28"/>
      <c r="F351" s="28"/>
      <c r="G351" s="28"/>
    </row>
    <row r="352" spans="2:7" ht="15" x14ac:dyDescent="0.25">
      <c r="B352" s="28"/>
      <c r="C352"/>
      <c r="D352"/>
      <c r="E352" s="28"/>
      <c r="F352" s="28"/>
      <c r="G352" s="28"/>
    </row>
    <row r="353" spans="2:7" ht="15" x14ac:dyDescent="0.25">
      <c r="B353" s="28"/>
      <c r="C353"/>
      <c r="D353"/>
      <c r="E353" s="28"/>
      <c r="F353" s="28"/>
      <c r="G353" s="28"/>
    </row>
    <row r="354" spans="2:7" ht="15" x14ac:dyDescent="0.25">
      <c r="B354" s="28"/>
      <c r="C354"/>
      <c r="D354"/>
      <c r="E354" s="28"/>
      <c r="F354" s="28"/>
      <c r="G354" s="28"/>
    </row>
    <row r="355" spans="2:7" ht="15" x14ac:dyDescent="0.25">
      <c r="B355" s="28"/>
      <c r="C355"/>
      <c r="D355"/>
      <c r="E355" s="28"/>
      <c r="F355" s="28"/>
      <c r="G355" s="28"/>
    </row>
    <row r="356" spans="2:7" ht="15" x14ac:dyDescent="0.25">
      <c r="B356" s="28"/>
      <c r="C356"/>
      <c r="D356"/>
      <c r="E356" s="28"/>
      <c r="F356" s="28"/>
      <c r="G356" s="28"/>
    </row>
    <row r="357" spans="2:7" ht="15" x14ac:dyDescent="0.25">
      <c r="B357" s="28"/>
      <c r="C357"/>
      <c r="D357"/>
      <c r="E357" s="28"/>
      <c r="F357" s="28"/>
      <c r="G357" s="28"/>
    </row>
    <row r="358" spans="2:7" ht="15" x14ac:dyDescent="0.25">
      <c r="B358" s="28"/>
      <c r="C358"/>
      <c r="D358"/>
      <c r="E358" s="28"/>
      <c r="F358" s="28"/>
      <c r="G358" s="28"/>
    </row>
    <row r="359" spans="2:7" ht="15" x14ac:dyDescent="0.25">
      <c r="B359" s="28"/>
      <c r="C359"/>
      <c r="D359"/>
      <c r="E359" s="28"/>
      <c r="F359" s="28"/>
      <c r="G359" s="28"/>
    </row>
    <row r="360" spans="2:7" ht="15" x14ac:dyDescent="0.25">
      <c r="B360" s="28"/>
      <c r="C360"/>
      <c r="D360"/>
      <c r="E360" s="28"/>
      <c r="F360" s="28"/>
      <c r="G360" s="28"/>
    </row>
    <row r="361" spans="2:7" ht="15" x14ac:dyDescent="0.25">
      <c r="B361" s="28"/>
      <c r="C361"/>
      <c r="D361"/>
      <c r="E361" s="28"/>
      <c r="F361" s="28"/>
      <c r="G361" s="28"/>
    </row>
    <row r="362" spans="2:7" ht="15" x14ac:dyDescent="0.25">
      <c r="B362" s="28"/>
      <c r="C362"/>
      <c r="D362"/>
      <c r="E362" s="28"/>
      <c r="F362" s="28"/>
      <c r="G362" s="28"/>
    </row>
    <row r="363" spans="2:7" ht="15" x14ac:dyDescent="0.25">
      <c r="B363" s="28"/>
      <c r="C363"/>
      <c r="D363"/>
      <c r="E363" s="28"/>
      <c r="F363" s="28"/>
      <c r="G363" s="28"/>
    </row>
    <row r="364" spans="2:7" ht="15" x14ac:dyDescent="0.25">
      <c r="B364" s="28"/>
      <c r="C364"/>
      <c r="D364"/>
      <c r="E364" s="28"/>
      <c r="F364" s="28"/>
      <c r="G364" s="28"/>
    </row>
    <row r="365" spans="2:7" ht="15" x14ac:dyDescent="0.25">
      <c r="B365" s="28"/>
      <c r="C365"/>
      <c r="D365"/>
      <c r="E365" s="28"/>
      <c r="F365" s="28"/>
      <c r="G365" s="28"/>
    </row>
    <row r="366" spans="2:7" ht="15" x14ac:dyDescent="0.25">
      <c r="B366" s="28"/>
      <c r="C366"/>
      <c r="D366"/>
      <c r="E366" s="28"/>
      <c r="F366" s="28"/>
      <c r="G366" s="28"/>
    </row>
    <row r="367" spans="2:7" ht="15" x14ac:dyDescent="0.25">
      <c r="B367" s="28"/>
      <c r="C367"/>
      <c r="D367"/>
      <c r="E367" s="28"/>
      <c r="F367" s="28"/>
      <c r="G367" s="28"/>
    </row>
    <row r="368" spans="2:7" ht="15" x14ac:dyDescent="0.25">
      <c r="B368" s="28"/>
      <c r="C368"/>
      <c r="D368"/>
      <c r="E368" s="28"/>
      <c r="F368" s="28"/>
      <c r="G368" s="28"/>
    </row>
    <row r="369" spans="2:7" ht="15" x14ac:dyDescent="0.25">
      <c r="B369" s="28"/>
      <c r="C369"/>
      <c r="D369"/>
      <c r="E369" s="28"/>
      <c r="F369" s="28"/>
      <c r="G369" s="28"/>
    </row>
    <row r="370" spans="2:7" ht="15" x14ac:dyDescent="0.25">
      <c r="B370" s="28"/>
      <c r="C370"/>
      <c r="D370"/>
      <c r="E370" s="28"/>
      <c r="F370" s="28"/>
      <c r="G370" s="28"/>
    </row>
    <row r="371" spans="2:7" ht="15" x14ac:dyDescent="0.25">
      <c r="B371" s="28"/>
      <c r="C371"/>
      <c r="D371"/>
      <c r="E371" s="28"/>
      <c r="F371" s="28"/>
      <c r="G371" s="28"/>
    </row>
    <row r="372" spans="2:7" ht="15" x14ac:dyDescent="0.25">
      <c r="B372" s="28"/>
      <c r="C372"/>
      <c r="D372"/>
      <c r="E372" s="28"/>
      <c r="F372" s="28"/>
      <c r="G372" s="28"/>
    </row>
    <row r="373" spans="2:7" ht="15" x14ac:dyDescent="0.25">
      <c r="B373" s="28"/>
      <c r="C373"/>
      <c r="D373"/>
      <c r="E373" s="28"/>
      <c r="F373" s="28"/>
      <c r="G373" s="28"/>
    </row>
    <row r="374" spans="2:7" ht="15" x14ac:dyDescent="0.25">
      <c r="B374" s="28"/>
      <c r="C374"/>
      <c r="D374"/>
      <c r="E374" s="28"/>
      <c r="F374" s="28"/>
      <c r="G374" s="28"/>
    </row>
    <row r="375" spans="2:7" ht="15" x14ac:dyDescent="0.25">
      <c r="B375" s="28"/>
      <c r="C375"/>
      <c r="D375"/>
      <c r="E375" s="28"/>
      <c r="F375" s="28"/>
      <c r="G375" s="28"/>
    </row>
    <row r="376" spans="2:7" ht="15" x14ac:dyDescent="0.25">
      <c r="B376" s="28"/>
      <c r="C376"/>
      <c r="D376"/>
      <c r="E376" s="28"/>
      <c r="F376" s="28"/>
      <c r="G376" s="28"/>
    </row>
    <row r="377" spans="2:7" ht="15" x14ac:dyDescent="0.25">
      <c r="B377" s="28"/>
      <c r="C377"/>
      <c r="D377"/>
      <c r="E377" s="28"/>
      <c r="F377" s="28"/>
      <c r="G377" s="28"/>
    </row>
    <row r="378" spans="2:7" ht="15" x14ac:dyDescent="0.25">
      <c r="B378" s="28"/>
      <c r="C378"/>
      <c r="D378"/>
      <c r="E378" s="28"/>
      <c r="F378" s="28"/>
      <c r="G378" s="28"/>
    </row>
    <row r="379" spans="2:7" ht="15" x14ac:dyDescent="0.25">
      <c r="B379" s="28"/>
      <c r="C379"/>
      <c r="D379"/>
      <c r="E379" s="28"/>
      <c r="F379" s="28"/>
      <c r="G379" s="28"/>
    </row>
    <row r="380" spans="2:7" ht="15" x14ac:dyDescent="0.25">
      <c r="B380" s="28"/>
      <c r="C380"/>
      <c r="D380"/>
      <c r="E380" s="28"/>
      <c r="F380" s="28"/>
      <c r="G380" s="28"/>
    </row>
    <row r="381" spans="2:7" ht="15" x14ac:dyDescent="0.25">
      <c r="B381" s="28"/>
      <c r="C381"/>
      <c r="D381"/>
      <c r="E381" s="28"/>
      <c r="F381" s="28"/>
      <c r="G381" s="28"/>
    </row>
    <row r="382" spans="2:7" ht="15" x14ac:dyDescent="0.25">
      <c r="B382" s="28"/>
      <c r="C382"/>
      <c r="D382"/>
      <c r="E382" s="28"/>
      <c r="F382" s="28"/>
      <c r="G382" s="28"/>
    </row>
    <row r="383" spans="2:7" ht="15" x14ac:dyDescent="0.25">
      <c r="B383" s="28"/>
      <c r="C383"/>
      <c r="D383"/>
      <c r="E383" s="28"/>
      <c r="F383" s="28"/>
      <c r="G383" s="28"/>
    </row>
    <row r="384" spans="2:7" ht="15" x14ac:dyDescent="0.25">
      <c r="B384" s="28"/>
      <c r="C384"/>
      <c r="D384"/>
      <c r="E384" s="28"/>
      <c r="F384" s="28"/>
      <c r="G384" s="28"/>
    </row>
    <row r="385" spans="2:7" ht="15" x14ac:dyDescent="0.25">
      <c r="B385" s="28"/>
      <c r="C385"/>
      <c r="D385"/>
      <c r="E385" s="28"/>
      <c r="F385" s="28"/>
      <c r="G385" s="28"/>
    </row>
    <row r="386" spans="2:7" ht="15" x14ac:dyDescent="0.25">
      <c r="B386" s="28"/>
      <c r="C386"/>
      <c r="D386"/>
      <c r="E386" s="28"/>
      <c r="F386" s="28"/>
      <c r="G386" s="28"/>
    </row>
    <row r="387" spans="2:7" ht="15" x14ac:dyDescent="0.25">
      <c r="B387" s="28"/>
      <c r="C387"/>
      <c r="D387"/>
      <c r="E387" s="28"/>
      <c r="F387" s="28"/>
      <c r="G387" s="28"/>
    </row>
    <row r="388" spans="2:7" ht="15" x14ac:dyDescent="0.25">
      <c r="B388" s="28"/>
      <c r="C388"/>
      <c r="D388"/>
      <c r="E388" s="28"/>
      <c r="F388" s="28"/>
      <c r="G388" s="28"/>
    </row>
    <row r="389" spans="2:7" ht="15" x14ac:dyDescent="0.25">
      <c r="B389" s="28"/>
      <c r="C389"/>
      <c r="D389"/>
      <c r="E389" s="28"/>
      <c r="F389" s="28"/>
      <c r="G389" s="28"/>
    </row>
    <row r="390" spans="2:7" ht="15" x14ac:dyDescent="0.25">
      <c r="B390" s="28"/>
      <c r="C390"/>
      <c r="D390"/>
      <c r="E390" s="28"/>
      <c r="F390" s="28"/>
      <c r="G390" s="28"/>
    </row>
    <row r="391" spans="2:7" ht="15" x14ac:dyDescent="0.25">
      <c r="B391" s="28"/>
      <c r="C391"/>
      <c r="D391"/>
      <c r="E391" s="28"/>
      <c r="F391" s="28"/>
      <c r="G391" s="28"/>
    </row>
    <row r="392" spans="2:7" ht="15" x14ac:dyDescent="0.25">
      <c r="B392" s="28"/>
      <c r="C392"/>
      <c r="D392"/>
      <c r="E392" s="28"/>
      <c r="F392" s="28"/>
      <c r="G392" s="28"/>
    </row>
    <row r="393" spans="2:7" ht="15" x14ac:dyDescent="0.25">
      <c r="B393" s="28"/>
      <c r="C393"/>
      <c r="D393"/>
      <c r="E393" s="28"/>
      <c r="F393" s="28"/>
      <c r="G393" s="28"/>
    </row>
    <row r="394" spans="2:7" ht="15" x14ac:dyDescent="0.25">
      <c r="B394" s="28"/>
      <c r="C394"/>
      <c r="D394"/>
      <c r="E394" s="28"/>
      <c r="F394" s="28"/>
      <c r="G394" s="28"/>
    </row>
    <row r="395" spans="2:7" ht="15" x14ac:dyDescent="0.25">
      <c r="B395" s="28"/>
      <c r="C395"/>
      <c r="D395"/>
      <c r="E395" s="28"/>
      <c r="F395" s="28"/>
      <c r="G395" s="28"/>
    </row>
    <row r="396" spans="2:7" ht="15" x14ac:dyDescent="0.25">
      <c r="B396" s="28"/>
      <c r="C396"/>
      <c r="D396"/>
      <c r="E396" s="28"/>
      <c r="F396" s="28"/>
      <c r="G396" s="28"/>
    </row>
    <row r="397" spans="2:7" ht="15" x14ac:dyDescent="0.25">
      <c r="B397" s="28"/>
      <c r="C397"/>
      <c r="D397"/>
      <c r="E397" s="28"/>
      <c r="F397" s="28"/>
      <c r="G397" s="28"/>
    </row>
    <row r="398" spans="2:7" ht="15" x14ac:dyDescent="0.25">
      <c r="B398" s="28"/>
      <c r="C398"/>
      <c r="D398"/>
      <c r="E398" s="28"/>
      <c r="F398" s="28"/>
      <c r="G398" s="28"/>
    </row>
    <row r="399" spans="2:7" ht="15" x14ac:dyDescent="0.25">
      <c r="B399" s="28"/>
      <c r="C399"/>
      <c r="D399"/>
      <c r="E399" s="28"/>
      <c r="F399" s="28"/>
      <c r="G399" s="28"/>
    </row>
    <row r="400" spans="2:7" ht="15" x14ac:dyDescent="0.25">
      <c r="B400" s="28"/>
      <c r="C400"/>
      <c r="D400"/>
      <c r="E400" s="28"/>
      <c r="F400" s="28"/>
      <c r="G400" s="28"/>
    </row>
    <row r="401" spans="2:7" ht="15" x14ac:dyDescent="0.25">
      <c r="B401" s="28"/>
      <c r="C401"/>
      <c r="D401"/>
      <c r="E401" s="28"/>
      <c r="F401" s="28"/>
      <c r="G401" s="28"/>
    </row>
    <row r="402" spans="2:7" ht="15" x14ac:dyDescent="0.25">
      <c r="B402" s="28"/>
      <c r="C402"/>
      <c r="D402"/>
      <c r="E402" s="28"/>
      <c r="F402" s="28"/>
      <c r="G402" s="28"/>
    </row>
    <row r="403" spans="2:7" ht="15" x14ac:dyDescent="0.25">
      <c r="B403" s="28"/>
      <c r="C403"/>
      <c r="D403"/>
      <c r="E403" s="28"/>
      <c r="F403" s="28"/>
      <c r="G403" s="28"/>
    </row>
    <row r="404" spans="2:7" ht="15" x14ac:dyDescent="0.25">
      <c r="B404" s="28"/>
      <c r="C404"/>
      <c r="D404"/>
      <c r="E404" s="28"/>
      <c r="F404" s="28"/>
      <c r="G404" s="28"/>
    </row>
    <row r="405" spans="2:7" ht="15" x14ac:dyDescent="0.25">
      <c r="B405" s="28"/>
      <c r="C405"/>
      <c r="D405"/>
      <c r="E405" s="28"/>
      <c r="F405" s="28"/>
      <c r="G405" s="28"/>
    </row>
    <row r="406" spans="2:7" ht="15" x14ac:dyDescent="0.25">
      <c r="B406" s="28"/>
      <c r="C406"/>
      <c r="D406"/>
      <c r="E406" s="28"/>
      <c r="F406" s="28"/>
      <c r="G406" s="28"/>
    </row>
    <row r="407" spans="2:7" ht="15" x14ac:dyDescent="0.25">
      <c r="B407" s="28"/>
      <c r="C407"/>
      <c r="D407"/>
      <c r="E407" s="28"/>
      <c r="F407" s="28"/>
      <c r="G407" s="28"/>
    </row>
    <row r="408" spans="2:7" ht="15" x14ac:dyDescent="0.25">
      <c r="B408" s="28"/>
      <c r="C408"/>
      <c r="D408"/>
      <c r="E408" s="28"/>
      <c r="F408" s="28"/>
      <c r="G408" s="28"/>
    </row>
    <row r="409" spans="2:7" ht="15" x14ac:dyDescent="0.25">
      <c r="B409" s="28"/>
      <c r="C409"/>
      <c r="D409"/>
      <c r="E409" s="28"/>
      <c r="F409" s="28"/>
      <c r="G409" s="28"/>
    </row>
    <row r="410" spans="2:7" ht="15" x14ac:dyDescent="0.25">
      <c r="B410" s="28"/>
      <c r="C410"/>
      <c r="D410"/>
      <c r="E410" s="28"/>
      <c r="F410" s="28"/>
      <c r="G410" s="28"/>
    </row>
    <row r="411" spans="2:7" ht="15" x14ac:dyDescent="0.25">
      <c r="B411" s="28"/>
      <c r="C411"/>
      <c r="D411"/>
      <c r="E411" s="28"/>
      <c r="F411" s="28"/>
      <c r="G411" s="28"/>
    </row>
    <row r="412" spans="2:7" ht="15" x14ac:dyDescent="0.25">
      <c r="B412" s="28"/>
      <c r="C412"/>
      <c r="D412"/>
      <c r="E412" s="28"/>
      <c r="F412" s="28"/>
      <c r="G412" s="28"/>
    </row>
    <row r="413" spans="2:7" ht="15" x14ac:dyDescent="0.25">
      <c r="B413" s="28"/>
      <c r="C413"/>
      <c r="D413"/>
      <c r="E413" s="28"/>
      <c r="F413" s="28"/>
      <c r="G413" s="28"/>
    </row>
    <row r="414" spans="2:7" ht="15" x14ac:dyDescent="0.25">
      <c r="B414" s="28"/>
      <c r="C414"/>
      <c r="D414"/>
      <c r="E414" s="28"/>
      <c r="F414" s="28"/>
      <c r="G414" s="28"/>
    </row>
    <row r="415" spans="2:7" ht="15" x14ac:dyDescent="0.25">
      <c r="B415" s="28"/>
      <c r="C415"/>
      <c r="D415"/>
      <c r="E415" s="28"/>
      <c r="F415" s="28"/>
      <c r="G415" s="28"/>
    </row>
    <row r="416" spans="2:7" ht="15" x14ac:dyDescent="0.25">
      <c r="B416" s="28"/>
      <c r="C416"/>
      <c r="D416"/>
      <c r="E416" s="28"/>
      <c r="F416" s="28"/>
      <c r="G416" s="28"/>
    </row>
    <row r="417" spans="2:7" ht="15" x14ac:dyDescent="0.25">
      <c r="B417" s="28"/>
      <c r="C417"/>
      <c r="D417"/>
      <c r="E417" s="28"/>
      <c r="F417" s="28"/>
      <c r="G417" s="28"/>
    </row>
    <row r="418" spans="2:7" ht="15" x14ac:dyDescent="0.25">
      <c r="B418" s="28"/>
      <c r="C418"/>
      <c r="D418"/>
      <c r="E418" s="28"/>
      <c r="F418" s="28"/>
      <c r="G418" s="28"/>
    </row>
    <row r="419" spans="2:7" ht="15" x14ac:dyDescent="0.25">
      <c r="B419" s="28"/>
      <c r="C419"/>
      <c r="D419"/>
      <c r="E419" s="28"/>
      <c r="F419" s="28"/>
      <c r="G419" s="28"/>
    </row>
    <row r="420" spans="2:7" ht="15" x14ac:dyDescent="0.25">
      <c r="B420" s="28"/>
      <c r="C420"/>
      <c r="D420"/>
      <c r="E420" s="28"/>
      <c r="F420" s="28"/>
      <c r="G420" s="28"/>
    </row>
    <row r="421" spans="2:7" ht="15" x14ac:dyDescent="0.25">
      <c r="B421" s="28"/>
      <c r="C421"/>
      <c r="D421"/>
      <c r="E421" s="28"/>
      <c r="F421" s="28"/>
      <c r="G421" s="28"/>
    </row>
    <row r="422" spans="2:7" ht="15" x14ac:dyDescent="0.25">
      <c r="B422" s="28"/>
      <c r="C422"/>
      <c r="D422"/>
      <c r="E422" s="28"/>
      <c r="F422" s="28"/>
      <c r="G422" s="28"/>
    </row>
    <row r="423" spans="2:7" ht="15" x14ac:dyDescent="0.25">
      <c r="B423" s="28"/>
      <c r="C423"/>
      <c r="D423"/>
      <c r="E423" s="28"/>
      <c r="F423" s="28"/>
      <c r="G423" s="28"/>
    </row>
    <row r="424" spans="2:7" ht="15" x14ac:dyDescent="0.25">
      <c r="B424" s="28"/>
      <c r="C424"/>
      <c r="D424"/>
      <c r="E424" s="28"/>
      <c r="F424" s="28"/>
      <c r="G424" s="28"/>
    </row>
    <row r="425" spans="2:7" ht="15" x14ac:dyDescent="0.25">
      <c r="B425" s="28"/>
      <c r="C425"/>
      <c r="D425"/>
      <c r="E425" s="28"/>
      <c r="F425" s="28"/>
      <c r="G425" s="28"/>
    </row>
    <row r="426" spans="2:7" ht="15" x14ac:dyDescent="0.25">
      <c r="B426" s="28"/>
      <c r="C426"/>
      <c r="D426"/>
      <c r="E426" s="28"/>
      <c r="F426" s="28"/>
      <c r="G426" s="28"/>
    </row>
    <row r="427" spans="2:7" ht="15" x14ac:dyDescent="0.25">
      <c r="B427" s="28"/>
      <c r="C427"/>
      <c r="D427"/>
      <c r="E427" s="28"/>
      <c r="F427" s="28"/>
      <c r="G427" s="28"/>
    </row>
    <row r="428" spans="2:7" ht="15" x14ac:dyDescent="0.25">
      <c r="B428" s="28"/>
      <c r="C428"/>
      <c r="D428"/>
      <c r="E428" s="28"/>
      <c r="F428" s="28"/>
      <c r="G428" s="28"/>
    </row>
    <row r="429" spans="2:7" ht="15" x14ac:dyDescent="0.25">
      <c r="B429" s="28"/>
      <c r="C429"/>
      <c r="D429"/>
      <c r="E429" s="28"/>
      <c r="F429" s="28"/>
      <c r="G429" s="28"/>
    </row>
    <row r="430" spans="2:7" ht="15" x14ac:dyDescent="0.25">
      <c r="B430" s="28"/>
      <c r="C430"/>
      <c r="D430"/>
      <c r="E430" s="28"/>
      <c r="F430" s="28"/>
      <c r="G430" s="28"/>
    </row>
    <row r="431" spans="2:7" ht="15" x14ac:dyDescent="0.25">
      <c r="B431" s="28"/>
      <c r="C431"/>
      <c r="D431"/>
      <c r="E431" s="28"/>
      <c r="F431" s="28"/>
      <c r="G431" s="28"/>
    </row>
    <row r="432" spans="2:7" ht="15" x14ac:dyDescent="0.25">
      <c r="B432" s="28"/>
      <c r="C432"/>
      <c r="D432"/>
      <c r="E432" s="28"/>
      <c r="F432" s="28"/>
      <c r="G432" s="28"/>
    </row>
    <row r="433" spans="2:7" ht="15" x14ac:dyDescent="0.25">
      <c r="B433" s="28"/>
      <c r="C433"/>
      <c r="D433"/>
      <c r="E433" s="28"/>
      <c r="F433" s="28"/>
      <c r="G433" s="28"/>
    </row>
    <row r="434" spans="2:7" ht="15" x14ac:dyDescent="0.25">
      <c r="B434" s="28"/>
      <c r="C434"/>
      <c r="D434"/>
      <c r="E434" s="28"/>
      <c r="F434" s="28"/>
      <c r="G434" s="28"/>
    </row>
    <row r="435" spans="2:7" ht="15" x14ac:dyDescent="0.25">
      <c r="B435" s="28"/>
      <c r="C435"/>
      <c r="D435"/>
      <c r="E435" s="28"/>
      <c r="F435" s="28"/>
      <c r="G435" s="28"/>
    </row>
    <row r="436" spans="2:7" ht="15" x14ac:dyDescent="0.25">
      <c r="B436" s="28"/>
      <c r="C436"/>
      <c r="D436"/>
      <c r="E436" s="28"/>
      <c r="F436" s="28"/>
      <c r="G436" s="28"/>
    </row>
    <row r="437" spans="2:7" ht="15" x14ac:dyDescent="0.25">
      <c r="B437" s="28"/>
      <c r="C437"/>
      <c r="D437"/>
      <c r="E437" s="28"/>
      <c r="F437" s="28"/>
      <c r="G437" s="28"/>
    </row>
    <row r="438" spans="2:7" ht="15" x14ac:dyDescent="0.25">
      <c r="B438" s="28"/>
      <c r="C438"/>
      <c r="D438"/>
      <c r="E438" s="28"/>
      <c r="F438" s="28"/>
      <c r="G438" s="28"/>
    </row>
    <row r="439" spans="2:7" ht="15" x14ac:dyDescent="0.25">
      <c r="B439" s="28"/>
      <c r="C439"/>
      <c r="D439"/>
      <c r="E439" s="28"/>
      <c r="F439" s="28"/>
      <c r="G439" s="28"/>
    </row>
    <row r="440" spans="2:7" ht="15" x14ac:dyDescent="0.25">
      <c r="B440" s="28"/>
      <c r="C440"/>
      <c r="D440"/>
      <c r="E440" s="28"/>
      <c r="F440" s="28"/>
      <c r="G440" s="28"/>
    </row>
    <row r="441" spans="2:7" ht="15" x14ac:dyDescent="0.25">
      <c r="B441" s="28"/>
      <c r="C441"/>
      <c r="D441"/>
      <c r="E441" s="28"/>
      <c r="F441" s="28"/>
      <c r="G441" s="28"/>
    </row>
    <row r="442" spans="2:7" ht="15" x14ac:dyDescent="0.25">
      <c r="B442" s="28"/>
      <c r="C442"/>
      <c r="D442"/>
      <c r="E442" s="28"/>
      <c r="F442" s="28"/>
      <c r="G442" s="28"/>
    </row>
    <row r="443" spans="2:7" ht="15" x14ac:dyDescent="0.25">
      <c r="B443" s="28"/>
      <c r="C443"/>
      <c r="D443"/>
      <c r="E443" s="28"/>
      <c r="F443" s="28"/>
      <c r="G443" s="28"/>
    </row>
    <row r="444" spans="2:7" ht="15" x14ac:dyDescent="0.25">
      <c r="B444" s="28"/>
      <c r="C444"/>
      <c r="D444"/>
      <c r="E444" s="28"/>
      <c r="F444" s="28"/>
      <c r="G444" s="28"/>
    </row>
    <row r="445" spans="2:7" ht="15" x14ac:dyDescent="0.25">
      <c r="B445" s="28"/>
      <c r="C445"/>
      <c r="D445"/>
      <c r="E445" s="28"/>
      <c r="F445" s="28"/>
      <c r="G445" s="28"/>
    </row>
    <row r="446" spans="2:7" ht="15" x14ac:dyDescent="0.25">
      <c r="B446" s="28"/>
      <c r="C446"/>
      <c r="D446"/>
      <c r="E446" s="28"/>
      <c r="F446" s="28"/>
      <c r="G446" s="28"/>
    </row>
    <row r="447" spans="2:7" ht="15" x14ac:dyDescent="0.25">
      <c r="B447" s="28"/>
      <c r="C447"/>
      <c r="D447"/>
      <c r="E447" s="28"/>
      <c r="F447" s="28"/>
      <c r="G447" s="28"/>
    </row>
    <row r="448" spans="2:7" ht="15" x14ac:dyDescent="0.25">
      <c r="B448" s="28"/>
      <c r="C448"/>
      <c r="D448"/>
      <c r="E448" s="28"/>
      <c r="F448" s="28"/>
      <c r="G448" s="28"/>
    </row>
    <row r="449" spans="2:7" ht="15" x14ac:dyDescent="0.25">
      <c r="B449" s="28"/>
      <c r="C449"/>
      <c r="D449"/>
      <c r="E449" s="28"/>
      <c r="F449" s="28"/>
      <c r="G449" s="28"/>
    </row>
    <row r="450" spans="2:7" ht="15" x14ac:dyDescent="0.25">
      <c r="B450" s="28"/>
      <c r="C450"/>
      <c r="D450"/>
      <c r="E450" s="28"/>
      <c r="F450" s="28"/>
      <c r="G450" s="28"/>
    </row>
    <row r="451" spans="2:7" ht="15" x14ac:dyDescent="0.25">
      <c r="B451" s="28"/>
      <c r="C451"/>
      <c r="D451"/>
      <c r="E451" s="28"/>
      <c r="F451" s="28"/>
      <c r="G451" s="28"/>
    </row>
    <row r="452" spans="2:7" ht="15" x14ac:dyDescent="0.25">
      <c r="B452" s="28"/>
      <c r="C452"/>
      <c r="D452"/>
      <c r="E452" s="28"/>
      <c r="F452" s="28"/>
      <c r="G452" s="28"/>
    </row>
    <row r="453" spans="2:7" ht="15" x14ac:dyDescent="0.25">
      <c r="B453" s="28"/>
      <c r="C453"/>
      <c r="D453"/>
      <c r="E453" s="28"/>
      <c r="F453" s="28"/>
      <c r="G453" s="28"/>
    </row>
    <row r="454" spans="2:7" ht="15" x14ac:dyDescent="0.25">
      <c r="B454" s="28"/>
      <c r="C454"/>
      <c r="D454"/>
      <c r="E454" s="28"/>
      <c r="F454" s="28"/>
      <c r="G454" s="28"/>
    </row>
    <row r="455" spans="2:7" ht="15" x14ac:dyDescent="0.25">
      <c r="B455" s="28"/>
      <c r="C455"/>
      <c r="D455"/>
      <c r="E455" s="28"/>
      <c r="F455" s="28"/>
      <c r="G455" s="28"/>
    </row>
    <row r="456" spans="2:7" ht="15" x14ac:dyDescent="0.25">
      <c r="B456" s="28"/>
      <c r="C456"/>
      <c r="D456"/>
      <c r="E456" s="28"/>
      <c r="F456" s="28"/>
      <c r="G456" s="28"/>
    </row>
    <row r="457" spans="2:7" ht="15" x14ac:dyDescent="0.25">
      <c r="B457" s="28"/>
      <c r="C457"/>
      <c r="D457"/>
      <c r="E457" s="28"/>
      <c r="F457" s="28"/>
      <c r="G457" s="28"/>
    </row>
    <row r="458" spans="2:7" ht="15" x14ac:dyDescent="0.25">
      <c r="B458" s="28"/>
      <c r="C458"/>
      <c r="D458"/>
      <c r="E458" s="28"/>
      <c r="F458" s="28"/>
      <c r="G458" s="28"/>
    </row>
    <row r="459" spans="2:7" ht="15" x14ac:dyDescent="0.25">
      <c r="B459" s="28"/>
      <c r="C459"/>
      <c r="D459"/>
      <c r="E459" s="28"/>
      <c r="F459" s="28"/>
      <c r="G459" s="28"/>
    </row>
    <row r="460" spans="2:7" ht="15" x14ac:dyDescent="0.25">
      <c r="B460" s="28"/>
      <c r="C460"/>
      <c r="D460"/>
      <c r="E460" s="28"/>
      <c r="F460" s="28"/>
      <c r="G460" s="28"/>
    </row>
    <row r="461" spans="2:7" ht="15" x14ac:dyDescent="0.25">
      <c r="B461" s="28"/>
      <c r="C461"/>
      <c r="D461"/>
      <c r="E461" s="28"/>
      <c r="F461" s="28"/>
      <c r="G461" s="28"/>
    </row>
    <row r="462" spans="2:7" ht="15" x14ac:dyDescent="0.25">
      <c r="B462" s="28"/>
      <c r="C462"/>
      <c r="D462"/>
      <c r="E462" s="28"/>
      <c r="F462" s="28"/>
      <c r="G462" s="28"/>
    </row>
    <row r="463" spans="2:7" ht="15" x14ac:dyDescent="0.25">
      <c r="B463" s="28"/>
      <c r="C463"/>
      <c r="D463"/>
      <c r="E463" s="28"/>
      <c r="F463" s="28"/>
      <c r="G463" s="28"/>
    </row>
    <row r="464" spans="2:7" ht="15" x14ac:dyDescent="0.25">
      <c r="B464" s="28"/>
      <c r="C464"/>
      <c r="D464"/>
      <c r="E464" s="28"/>
      <c r="F464" s="28"/>
      <c r="G464" s="28"/>
    </row>
    <row r="465" spans="2:7" x14ac:dyDescent="0.25">
      <c r="B465" s="17"/>
      <c r="C465" s="18"/>
      <c r="D465" s="26"/>
      <c r="E465" s="18"/>
      <c r="F465" s="18"/>
      <c r="G465" s="20"/>
    </row>
    <row r="466" spans="2:7" x14ac:dyDescent="0.25">
      <c r="B466" s="17"/>
      <c r="C466" s="18"/>
      <c r="D466" s="19"/>
      <c r="E466" s="18"/>
      <c r="F466" s="18"/>
      <c r="G466" s="20"/>
    </row>
    <row r="467" spans="2:7" ht="15" x14ac:dyDescent="0.25">
      <c r="B467" s="28"/>
      <c r="C467"/>
      <c r="D467"/>
      <c r="E467" s="1"/>
      <c r="F467" s="1"/>
      <c r="G467" s="1"/>
    </row>
    <row r="468" spans="2:7" ht="15" x14ac:dyDescent="0.25">
      <c r="B468" s="28"/>
      <c r="C468"/>
      <c r="D468"/>
      <c r="E468" s="1"/>
      <c r="F468" s="1"/>
      <c r="G468" s="1"/>
    </row>
    <row r="469" spans="2:7" ht="15" x14ac:dyDescent="0.25">
      <c r="B469" s="28"/>
      <c r="C469"/>
      <c r="D469"/>
      <c r="E469" s="1"/>
      <c r="F469" s="1"/>
      <c r="G469" s="1"/>
    </row>
    <row r="470" spans="2:7" ht="15" x14ac:dyDescent="0.25">
      <c r="B470" s="28"/>
      <c r="C470"/>
      <c r="D470"/>
      <c r="E470" s="1"/>
      <c r="F470" s="1"/>
      <c r="G470" s="1"/>
    </row>
    <row r="471" spans="2:7" ht="15" x14ac:dyDescent="0.25">
      <c r="B471" s="28"/>
      <c r="C471"/>
      <c r="D471"/>
      <c r="E471" s="1"/>
      <c r="F471" s="1"/>
      <c r="G471" s="1"/>
    </row>
    <row r="472" spans="2:7" ht="15" x14ac:dyDescent="0.25">
      <c r="B472" s="28"/>
      <c r="C472"/>
      <c r="D472"/>
      <c r="E472" s="1"/>
      <c r="F472" s="1"/>
      <c r="G472" s="1"/>
    </row>
    <row r="473" spans="2:7" ht="15" x14ac:dyDescent="0.25">
      <c r="B473" s="28"/>
      <c r="C473"/>
      <c r="D473"/>
      <c r="E473" s="1"/>
      <c r="F473" s="1"/>
      <c r="G473" s="1"/>
    </row>
    <row r="474" spans="2:7" ht="15" x14ac:dyDescent="0.25">
      <c r="B474" s="28"/>
      <c r="C474"/>
      <c r="D474"/>
      <c r="E474" s="1"/>
      <c r="F474" s="1"/>
      <c r="G474" s="1"/>
    </row>
    <row r="475" spans="2:7" ht="15" x14ac:dyDescent="0.25">
      <c r="B475" s="28"/>
      <c r="C475"/>
      <c r="D475"/>
      <c r="E475" s="1"/>
      <c r="F475" s="1"/>
      <c r="G475" s="1"/>
    </row>
    <row r="476" spans="2:7" ht="15" x14ac:dyDescent="0.25">
      <c r="B476" s="28"/>
      <c r="C476"/>
      <c r="D476"/>
      <c r="E476" s="1"/>
      <c r="F476" s="1"/>
      <c r="G476" s="1"/>
    </row>
    <row r="477" spans="2:7" ht="15" x14ac:dyDescent="0.25">
      <c r="B477" s="28"/>
      <c r="C477"/>
      <c r="D477"/>
      <c r="E477" s="1"/>
      <c r="F477" s="1"/>
      <c r="G477" s="1"/>
    </row>
    <row r="478" spans="2:7" ht="15" x14ac:dyDescent="0.25">
      <c r="B478" s="28"/>
      <c r="C478"/>
      <c r="D478"/>
      <c r="E478" s="1"/>
      <c r="F478" s="1"/>
      <c r="G478" s="1"/>
    </row>
    <row r="479" spans="2:7" ht="15" x14ac:dyDescent="0.25">
      <c r="B479" s="28"/>
      <c r="C479"/>
      <c r="D479"/>
      <c r="E479" s="1"/>
      <c r="F479" s="1"/>
      <c r="G479" s="1"/>
    </row>
    <row r="480" spans="2:7" ht="15" x14ac:dyDescent="0.25">
      <c r="B480" s="28"/>
      <c r="C480"/>
      <c r="D480"/>
      <c r="E480" s="1"/>
      <c r="F480" s="1"/>
      <c r="G480" s="1"/>
    </row>
    <row r="481" spans="2:7" ht="15" x14ac:dyDescent="0.25">
      <c r="B481" s="28"/>
      <c r="C481"/>
      <c r="D481"/>
      <c r="E481" s="1"/>
      <c r="F481" s="1"/>
      <c r="G481" s="1"/>
    </row>
    <row r="482" spans="2:7" ht="15" x14ac:dyDescent="0.25">
      <c r="B482" s="28"/>
      <c r="C482"/>
      <c r="D482"/>
      <c r="E482" s="1"/>
      <c r="F482" s="1"/>
      <c r="G482" s="1"/>
    </row>
    <row r="483" spans="2:7" ht="15" x14ac:dyDescent="0.25">
      <c r="B483" s="28"/>
      <c r="C483"/>
      <c r="D483"/>
      <c r="E483" s="1"/>
      <c r="F483" s="1"/>
      <c r="G483" s="1"/>
    </row>
    <row r="484" spans="2:7" ht="15" x14ac:dyDescent="0.25">
      <c r="B484" s="28"/>
      <c r="C484"/>
      <c r="D484"/>
      <c r="E484" s="1"/>
      <c r="F484" s="1"/>
      <c r="G484" s="1"/>
    </row>
    <row r="485" spans="2:7" ht="15" x14ac:dyDescent="0.25">
      <c r="B485" s="28"/>
      <c r="C485"/>
      <c r="D485"/>
      <c r="E485" s="1"/>
      <c r="F485" s="1"/>
      <c r="G485" s="1"/>
    </row>
    <row r="486" spans="2:7" ht="15" x14ac:dyDescent="0.25">
      <c r="B486" s="28"/>
      <c r="C486"/>
      <c r="D486"/>
      <c r="E486" s="1"/>
      <c r="F486" s="1"/>
      <c r="G486"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EF323-0F26-448A-A1F9-E48462E11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2020</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Fajri Ramadhan</dc:creator>
  <cp:lastModifiedBy>Muhammad Fajri Ramadhan</cp:lastModifiedBy>
  <dcterms:created xsi:type="dcterms:W3CDTF">2025-10-19T12:34:44Z</dcterms:created>
  <dcterms:modified xsi:type="dcterms:W3CDTF">2025-10-21T12:22:46Z</dcterms:modified>
</cp:coreProperties>
</file>